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0b74b29ef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k List" sheetId="1" r:id="Rd1de4da09fa640e6"/>
    <x:sheet xmlns:r="http://schemas.openxmlformats.org/officeDocument/2006/relationships" name="1. Profil Lulusan" sheetId="2" r:id="R84264c6c731e4066"/>
    <x:sheet xmlns:r="http://schemas.openxmlformats.org/officeDocument/2006/relationships" name="2. CPL Prodi" sheetId="3" r:id="Rc0e2d26af0004691"/>
    <x:sheet xmlns:r="http://schemas.openxmlformats.org/officeDocument/2006/relationships" name="3. CPL-PL" sheetId="4" r:id="R9c06a0d7442c4a52"/>
    <x:sheet xmlns:r="http://schemas.openxmlformats.org/officeDocument/2006/relationships" name="4. CPL-MK" sheetId="5" r:id="R5d4ef27fb9c349db"/>
    <x:sheet xmlns:r="http://schemas.openxmlformats.org/officeDocument/2006/relationships" name="5. Organisasi Mata Kuliah" sheetId="6" r:id="R1ee1e43d589a435c"/>
    <x:sheet xmlns:r="http://schemas.openxmlformats.org/officeDocument/2006/relationships" name="6. Peta Pemenuhan CPL" sheetId="7" r:id="Rc73fa787acdc436c"/>
    <x:sheet xmlns:r="http://schemas.openxmlformats.org/officeDocument/2006/relationships" name="7. MK-CPMK-SubCPMK-Evaluasi-CPL" sheetId="8" r:id="Rdeb63382bb55479b"/>
    <x:sheet xmlns:r="http://schemas.openxmlformats.org/officeDocument/2006/relationships" name="8. Evaluasi MK AI" sheetId="9" r:id="Rc55e0beb4daf4aae"/>
    <x:sheet xmlns:r="http://schemas.openxmlformats.org/officeDocument/2006/relationships" name="9. Evaluasi MK UIUX" sheetId="10" r:id="R5a1dac863ec74575"/>
    <x:sheet xmlns:r="http://schemas.openxmlformats.org/officeDocument/2006/relationships" name="10. Evaluasi MK IoT" sheetId="11" r:id="R7917bb08a8a74878"/>
    <x:sheet xmlns:r="http://schemas.openxmlformats.org/officeDocument/2006/relationships" name="11. Evaluasi MK TataKelola" sheetId="12" r:id="Rb0dfc8f587e74e4c"/>
    <x:sheet xmlns:r="http://schemas.openxmlformats.org/officeDocument/2006/relationships" name="12. Perhitungan CPL" sheetId="13" r:id="Refdeeedea358450e"/>
    <x:sheet xmlns:r="http://schemas.openxmlformats.org/officeDocument/2006/relationships" name="13. Ringkasan" sheetId="14" r:id="R7c893362f8ed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i/>
      <x:sz val="11"/>
      <x:name val="Carlito"/>
    </x:font>
    <x:font>
      <x:b/>
      <x:i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C000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58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top style="thin">
        <x:color rgb="FFB7B7B7"/>
      </x:top>
      <x:bottom style="thin">
        <x:color rgb="FF000000"/>
      </x:bottom>
    </x:border>
    <x:border>
      <x:top style="thin">
        <x:color rgb="FFB7B7B7"/>
      </x:top>
      <x:bottom style="thin">
        <x:color rgb="FF000000"/>
      </x:bottom>
    </x:border>
    <x:border>
      <x:right style="thin">
        <x:color rgb="FFB7B7B7"/>
      </x:right>
      <x:top style="thin">
        <x:color rgb="FFB7B7B7"/>
      </x:top>
      <x:bottom style="thin">
        <x:color rgb="FF000000"/>
      </x:bottom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000000"/>
      </x:bottom>
    </x:border>
    <x:border>
      <x:top style="thin">
        <x:color rgb="FFB7B7B7"/>
      </x:top>
      <x:bottom style="thin">
        <x:color rgb="FF000000"/>
      </x:bottom>
    </x:border>
    <x:border>
      <x:right style="thin">
        <x:color rgb="FFB7B7B7"/>
      </x:right>
      <x:top style="thin">
        <x:color rgb="FFB7B7B7"/>
      </x:top>
      <x:bottom style="thin">
        <x:color rgb="FF000000"/>
      </x:bottom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000000"/>
      </x:top>
      <x:bottom style="thin">
        <x:color rgb="FFB7B7B7"/>
      </x:bottom>
    </x:border>
    <x:border>
      <x:top style="thin">
        <x:color rgb="FF000000"/>
      </x:top>
      <x:bottom style="thin">
        <x:color rgb="FFB7B7B7"/>
      </x:bottom>
    </x:border>
    <x:border>
      <x:right style="thin">
        <x:color rgb="FFB7B7B7"/>
      </x:right>
      <x:top style="thin">
        <x:color rgb="FF000000"/>
      </x:top>
      <x:bottom style="thin">
        <x:color rgb="FFB7B7B7"/>
      </x:bottom>
    </x:border>
    <x:border>
      <x:left style="thin">
        <x:color rgb="FFB7B7B7"/>
      </x:left>
      <x:top style="thin">
        <x:color rgb="FF000000"/>
      </x:top>
      <x:bottom style="thin">
        <x:color rgb="FFB7B7B7"/>
      </x:bottom>
    </x:border>
    <x:border>
      <x:top style="thin">
        <x:color rgb="FF000000"/>
      </x:top>
      <x:bottom style="thin">
        <x:color rgb="FFB7B7B7"/>
      </x:bottom>
    </x:border>
    <x:border>
      <x:right style="thin">
        <x:color rgb="FFB7B7B7"/>
      </x:right>
      <x:top style="thin">
        <x:color rgb="FF000000"/>
      </x:top>
      <x:bottom style="thin">
        <x:color rgb="FFB7B7B7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B7B7B7"/>
      </x:left>
      <x:top style="thin">
        <x:color rgb="FF000000"/>
      </x:top>
    </x:border>
    <x:border>
      <x:right style="thin">
        <x:color rgb="FFB7B7B7"/>
      </x:right>
      <x:top style="thin">
        <x:color rgb="FF000000"/>
      </x:top>
    </x:border>
    <x:border>
      <x:left style="thin">
        <x:color rgb="FFB7B7B7"/>
      </x:left>
      <x:top style="thin">
        <x:color rgb="FF000000"/>
      </x:top>
    </x:border>
    <x:border>
      <x:right style="thin">
        <x:color rgb="FFB7B7B7"/>
      </x:right>
      <x:top style="thin">
        <x:color rgb="FF000000"/>
      </x:top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  <x:top style="thin">
        <x:color rgb="FF000000"/>
      </x:top>
      <x:bottom style="thin">
        <x:color rgb="FF000000"/>
      </x:bottom>
    </x:border>
    <x:border>
      <x:right style="thin">
        <x:color rgb="FFB7B7B7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top style="thin">
        <x:color rgb="FF000000"/>
      </x:top>
      <x:bottom style="thin">
        <x:color rgb="FF000000"/>
      </x:bottom>
    </x:border>
    <x:border>
      <x:right style="thin">
        <x:color rgb="FFB7B7B7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top" wrapText="1"/>
    </x:xf>
    <x:xf numFmtId="0" fontId="2" fillId="3" borderId="9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2" fillId="3" borderId="16" xfId="0" applyNumberFormat="1" applyFont="1" applyFill="1" applyBorder="1" applyAlignment="1">
      <x:alignment horizontal="center" vertical="top" wrapText="1"/>
    </x:xf>
    <x:xf numFmtId="0" fontId="2" fillId="3" borderId="17" xfId="0" applyNumberFormat="1" applyFont="1" applyFill="1" applyBorder="1" applyAlignment="1">
      <x:alignment horizontal="center" vertical="top" wrapText="1"/>
    </x:xf>
    <x:xf numFmtId="0" fontId="2" fillId="3" borderId="18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 applyAlignment="1">
      <x:alignment horizontal="center" vertical="top" wrapText="1"/>
    </x:xf>
    <x:xf numFmtId="0" fontId="2" fillId="3" borderId="25" xfId="0" applyNumberFormat="1" applyFont="1" applyFill="1" applyBorder="1" applyAlignment="1">
      <x:alignment horizontal="center" vertical="top" wrapText="1"/>
    </x:xf>
    <x:xf numFmtId="0" fontId="2" fillId="3" borderId="26" xfId="0" applyNumberFormat="1" applyFont="1" applyFill="1" applyBorder="1" applyAlignment="1">
      <x:alignment horizontal="center" vertical="top" wrapText="1"/>
    </x:xf>
    <x:xf numFmtId="0" fontId="2" fillId="3" borderId="27" xfId="0" applyNumberFormat="1" applyFont="1" applyFill="1" applyBorder="1" applyAlignment="1">
      <x:alignment horizontal="center" vertical="top" wrapText="1"/>
    </x:xf>
    <x:xf numFmtId="0" fontId="2" fillId="3" borderId="28" xfId="0" applyNumberFormat="1" applyFont="1" applyFill="1" applyBorder="1" applyAlignment="1">
      <x:alignment horizontal="center" vertical="top" wrapText="1"/>
    </x:xf>
    <x:xf numFmtId="0" fontId="2" fillId="3" borderId="2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2" fillId="3" borderId="30" xfId="0" applyNumberFormat="1" applyFont="1" applyFill="1" applyBorder="1"/>
    <x:xf numFmtId="0" fontId="2" fillId="3" borderId="31" xfId="0" applyNumberFormat="1" applyFont="1" applyFill="1" applyBorder="1"/>
    <x:xf numFmtId="0" fontId="2" fillId="3" borderId="32" xfId="0" applyNumberFormat="1" applyFont="1" applyFill="1" applyBorder="1"/>
    <x:xf numFmtId="0" fontId="2" fillId="3" borderId="33" xfId="0" applyNumberFormat="1" applyFont="1" applyFill="1" applyBorder="1"/>
    <x:xf numFmtId="0" fontId="2" fillId="3" borderId="34" xfId="0" applyNumberFormat="1" applyFont="1" applyFill="1" applyBorder="1"/>
    <x:xf numFmtId="0" fontId="2" fillId="3" borderId="35" xfId="0" applyNumberFormat="1" applyFont="1" applyFill="1" applyBorder="1"/>
    <x:xf numFmtId="0" fontId="2" fillId="3" borderId="36" xfId="0" applyNumberFormat="1" applyFont="1" applyFill="1" applyBorder="1"/>
    <x:xf numFmtId="0" fontId="2" fillId="3" borderId="37" xfId="0" applyNumberFormat="1" applyFont="1" applyFill="1" applyBorder="1"/>
    <x:xf numFmtId="0" fontId="2" fillId="3" borderId="30" xfId="0" applyNumberFormat="1" applyFont="1" applyFill="1" applyBorder="1" applyAlignment="1">
      <x:alignment wrapText="1"/>
    </x:xf>
    <x:xf numFmtId="0" fontId="2" fillId="3" borderId="31" xfId="0" applyNumberFormat="1" applyFont="1" applyFill="1" applyBorder="1" applyAlignment="1">
      <x:alignment wrapText="1"/>
    </x:xf>
    <x:xf numFmtId="0" fontId="2" fillId="3" borderId="32" xfId="0" applyNumberFormat="1" applyFont="1" applyFill="1" applyBorder="1" applyAlignment="1">
      <x:alignment wrapText="1"/>
    </x:xf>
    <x:xf numFmtId="0" fontId="2" fillId="3" borderId="3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34" xfId="0" applyNumberFormat="1" applyFont="1" applyFill="1" applyBorder="1" applyAlignment="1">
      <x:alignment wrapText="1"/>
    </x:xf>
    <x:xf numFmtId="0" fontId="2" fillId="3" borderId="35" xfId="0" applyNumberFormat="1" applyFont="1" applyFill="1" applyBorder="1" applyAlignment="1">
      <x:alignment wrapText="1"/>
    </x:xf>
    <x:xf numFmtId="0" fontId="2" fillId="3" borderId="36" xfId="0" applyNumberFormat="1" applyFont="1" applyFill="1" applyBorder="1" applyAlignment="1">
      <x:alignment wrapText="1"/>
    </x:xf>
    <x:xf numFmtId="0" fontId="2" fillId="3" borderId="37" xfId="0" applyNumberFormat="1" applyFont="1" applyFill="1" applyBorder="1" applyAlignment="1">
      <x:alignment wrapText="1"/>
    </x:xf>
    <x:xf numFmtId="0" fontId="2" fillId="3" borderId="30" xfId="0" applyNumberFormat="1" applyFont="1" applyFill="1" applyBorder="1" applyAlignment="1">
      <x:alignment horizontal="center" wrapText="1"/>
    </x:xf>
    <x:xf numFmtId="0" fontId="2" fillId="3" borderId="31" xfId="0" applyNumberFormat="1" applyFont="1" applyFill="1" applyBorder="1" applyAlignment="1">
      <x:alignment horizontal="center" wrapText="1"/>
    </x:xf>
    <x:xf numFmtId="0" fontId="2" fillId="3" borderId="32" xfId="0" applyNumberFormat="1" applyFont="1" applyFill="1" applyBorder="1" applyAlignment="1">
      <x:alignment horizontal="center" wrapText="1"/>
    </x:xf>
    <x:xf numFmtId="0" fontId="2" fillId="3" borderId="33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34" xfId="0" applyNumberFormat="1" applyFont="1" applyFill="1" applyBorder="1" applyAlignment="1">
      <x:alignment horizontal="center" wrapText="1"/>
    </x:xf>
    <x:xf numFmtId="0" fontId="2" fillId="3" borderId="35" xfId="0" applyNumberFormat="1" applyFont="1" applyFill="1" applyBorder="1" applyAlignment="1">
      <x:alignment horizontal="center" wrapText="1"/>
    </x:xf>
    <x:xf numFmtId="0" fontId="2" fillId="3" borderId="36" xfId="0" applyNumberFormat="1" applyFont="1" applyFill="1" applyBorder="1" applyAlignment="1">
      <x:alignment horizontal="center" wrapText="1"/>
    </x:xf>
    <x:xf numFmtId="0" fontId="2" fillId="3" borderId="37" xfId="0" applyNumberFormat="1" applyFont="1" applyFill="1" applyBorder="1" applyAlignment="1">
      <x:alignment horizontal="center" wrapText="1"/>
    </x:xf>
    <x:xf numFmtId="0" fontId="2" fillId="3" borderId="30" xfId="0" applyNumberFormat="1" applyFont="1" applyFill="1" applyBorder="1" applyAlignment="1">
      <x:alignment horizontal="center" vertical="center" wrapText="1"/>
    </x:xf>
    <x:xf numFmtId="0" fontId="2" fillId="3" borderId="31" xfId="0" applyNumberFormat="1" applyFont="1" applyFill="1" applyBorder="1" applyAlignment="1">
      <x:alignment horizontal="center" vertical="center" wrapText="1"/>
    </x:xf>
    <x:xf numFmtId="0" fontId="2" fillId="3" borderId="32" xfId="0" applyNumberFormat="1" applyFont="1" applyFill="1" applyBorder="1" applyAlignment="1">
      <x:alignment horizontal="center" vertical="center" wrapText="1"/>
    </x:xf>
    <x:xf numFmtId="0" fontId="2" fillId="3" borderId="3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horizontal="center" vertical="center" wrapText="1"/>
    </x:xf>
    <x:xf numFmtId="0" fontId="2" fillId="3" borderId="35" xfId="0" applyNumberFormat="1" applyFont="1" applyFill="1" applyBorder="1" applyAlignment="1">
      <x:alignment horizontal="center" vertic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2" fillId="3" borderId="37" xfId="0" applyNumberFormat="1" applyFont="1" applyFill="1" applyBorder="1" applyAlignment="1">
      <x:alignment horizontal="center" vertical="center" wrapText="1"/>
    </x:xf>
    <x:xf numFmtId="0" fontId="2" fillId="3" borderId="38" xfId="0" applyNumberFormat="1" applyFont="1" applyFill="1" applyBorder="1"/>
    <x:xf numFmtId="0" fontId="2" fillId="3" borderId="39" xfId="0" applyNumberFormat="1" applyFont="1" applyFill="1" applyBorder="1"/>
    <x:xf numFmtId="0" fontId="2" fillId="3" borderId="40" xfId="0" applyNumberFormat="1" applyFont="1" applyFill="1" applyBorder="1"/>
    <x:xf numFmtId="0" fontId="2" fillId="3" borderId="41" xfId="0" applyNumberFormat="1" applyFont="1" applyFill="1" applyBorder="1"/>
    <x:xf numFmtId="0" fontId="2" fillId="3" borderId="42" xfId="0" applyNumberFormat="1" applyFont="1" applyFill="1" applyBorder="1"/>
    <x:xf numFmtId="0" fontId="2" fillId="3" borderId="43" xfId="0" applyNumberFormat="1" applyFont="1" applyFill="1" applyBorder="1"/>
    <x:xf numFmtId="0" fontId="2" fillId="3" borderId="44" xfId="0" applyNumberFormat="1" applyFont="1" applyFill="1" applyBorder="1"/>
    <x:xf numFmtId="0" fontId="2" fillId="3" borderId="45" xfId="0" applyNumberFormat="1" applyFont="1" applyFill="1" applyBorder="1"/>
    <x:xf numFmtId="0" fontId="2" fillId="3" borderId="38" xfId="0" applyNumberFormat="1" applyFont="1" applyFill="1" applyBorder="1" applyAlignment="1">
      <x:alignment wrapText="1"/>
    </x:xf>
    <x:xf numFmtId="0" fontId="2" fillId="3" borderId="39" xfId="0" applyNumberFormat="1" applyFont="1" applyFill="1" applyBorder="1" applyAlignment="1">
      <x:alignment wrapText="1"/>
    </x:xf>
    <x:xf numFmtId="0" fontId="2" fillId="3" borderId="40" xfId="0" applyNumberFormat="1" applyFont="1" applyFill="1" applyBorder="1" applyAlignment="1">
      <x:alignment wrapText="1"/>
    </x:xf>
    <x:xf numFmtId="0" fontId="2" fillId="3" borderId="4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42" xfId="0" applyNumberFormat="1" applyFont="1" applyFill="1" applyBorder="1" applyAlignment="1">
      <x:alignment wrapText="1"/>
    </x:xf>
    <x:xf numFmtId="0" fontId="2" fillId="3" borderId="43" xfId="0" applyNumberFormat="1" applyFont="1" applyFill="1" applyBorder="1" applyAlignment="1">
      <x:alignment wrapText="1"/>
    </x:xf>
    <x:xf numFmtId="0" fontId="2" fillId="3" borderId="44" xfId="0" applyNumberFormat="1" applyFont="1" applyFill="1" applyBorder="1" applyAlignment="1">
      <x:alignment wrapText="1"/>
    </x:xf>
    <x:xf numFmtId="0" fontId="2" fillId="3" borderId="45" xfId="0" applyNumberFormat="1" applyFont="1" applyFill="1" applyBorder="1" applyAlignment="1">
      <x:alignment wrapText="1"/>
    </x:xf>
    <x:xf numFmtId="0" fontId="2" fillId="3" borderId="38" xfId="0" applyNumberFormat="1" applyFont="1" applyFill="1" applyBorder="1" applyAlignment="1">
      <x:alignment horizontal="center" wrapText="1"/>
    </x:xf>
    <x:xf numFmtId="0" fontId="2" fillId="3" borderId="39" xfId="0" applyNumberFormat="1" applyFont="1" applyFill="1" applyBorder="1" applyAlignment="1">
      <x:alignment horizontal="center" wrapText="1"/>
    </x:xf>
    <x:xf numFmtId="0" fontId="2" fillId="3" borderId="40" xfId="0" applyNumberFormat="1" applyFont="1" applyFill="1" applyBorder="1" applyAlignment="1">
      <x:alignment horizontal="center" wrapText="1"/>
    </x:xf>
    <x:xf numFmtId="0" fontId="2" fillId="3" borderId="4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42" xfId="0" applyNumberFormat="1" applyFont="1" applyFill="1" applyBorder="1" applyAlignment="1">
      <x:alignment horizontal="center" wrapText="1"/>
    </x:xf>
    <x:xf numFmtId="0" fontId="2" fillId="3" borderId="43" xfId="0" applyNumberFormat="1" applyFont="1" applyFill="1" applyBorder="1" applyAlignment="1">
      <x:alignment horizontal="center" wrapText="1"/>
    </x:xf>
    <x:xf numFmtId="0" fontId="2" fillId="3" borderId="44" xfId="0" applyNumberFormat="1" applyFont="1" applyFill="1" applyBorder="1" applyAlignment="1">
      <x:alignment horizontal="center" wrapText="1"/>
    </x:xf>
    <x:xf numFmtId="0" fontId="2" fillId="3" borderId="45" xfId="0" applyNumberFormat="1" applyFont="1" applyFill="1" applyBorder="1" applyAlignment="1">
      <x:alignment horizontal="center" wrapText="1"/>
    </x:xf>
    <x:xf numFmtId="0" fontId="2" fillId="3" borderId="38" xfId="0" applyNumberFormat="1" applyFont="1" applyFill="1" applyBorder="1" applyAlignment="1">
      <x:alignment horizontal="center" vertical="center" wrapText="1"/>
    </x:xf>
    <x:xf numFmtId="0" fontId="2" fillId="3" borderId="39" xfId="0" applyNumberFormat="1" applyFont="1" applyFill="1" applyBorder="1" applyAlignment="1">
      <x:alignment horizontal="center" vertical="center" wrapText="1"/>
    </x:xf>
    <x:xf numFmtId="0" fontId="2" fillId="3" borderId="40" xfId="0" applyNumberFormat="1" applyFont="1" applyFill="1" applyBorder="1" applyAlignment="1">
      <x:alignment horizontal="center" vertical="center" wrapText="1"/>
    </x:xf>
    <x:xf numFmtId="0" fontId="2" fillId="3" borderId="4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42" xfId="0" applyNumberFormat="1" applyFont="1" applyFill="1" applyBorder="1" applyAlignment="1">
      <x:alignment horizontal="center" vertical="center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2" fillId="3" borderId="45" xfId="0" applyNumberFormat="1" applyFont="1" applyFill="1" applyBorder="1" applyAlignment="1">
      <x:alignment horizontal="center" vertical="center" wrapText="1"/>
    </x:xf>
    <x:xf numFmtId="0" fontId="2" fillId="3" borderId="46" xfId="0" applyNumberFormat="1" applyFont="1" applyFill="1" applyBorder="1" applyAlignment="1">
      <x:alignment horizontal="center" vertical="center" wrapText="1"/>
    </x:xf>
    <x:xf numFmtId="0" fontId="2" fillId="3" borderId="47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48" xfId="0" applyNumberFormat="1" applyFont="1" applyFill="1" applyBorder="1" applyAlignment="1">
      <x:alignment horizontal="center" vertical="center" wrapText="1"/>
    </x:xf>
    <x:xf numFmtId="0" fontId="2" fillId="3" borderId="49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2" fillId="3" borderId="46" xfId="0" applyNumberFormat="1" applyFont="1" applyFill="1" applyBorder="1" applyAlignment="1">
      <x:alignment horizontal="center" vertical="top" wrapText="1"/>
    </x:xf>
    <x:xf numFmtId="0" fontId="2" fillId="3" borderId="31" xfId="0" applyNumberFormat="1" applyFont="1" applyFill="1" applyBorder="1" applyAlignment="1">
      <x:alignment horizontal="center" vertical="top" wrapText="1"/>
    </x:xf>
    <x:xf numFmtId="0" fontId="2" fillId="3" borderId="47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2" fillId="3" borderId="13" xfId="0" applyNumberFormat="1" applyFont="1" applyFill="1" applyBorder="1" applyAlignment="1">
      <x:alignment horizontal="center" vertical="top" wrapText="1"/>
    </x:xf>
    <x:xf numFmtId="0" fontId="2" fillId="3" borderId="14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48" xfId="0" applyNumberFormat="1" applyFont="1" applyFill="1" applyBorder="1" applyAlignment="1">
      <x:alignment horizontal="center" vertical="top" wrapText="1"/>
    </x:xf>
    <x:xf numFmtId="0" fontId="2" fillId="3" borderId="39" xfId="0" applyNumberFormat="1" applyFont="1" applyFill="1" applyBorder="1" applyAlignment="1">
      <x:alignment horizontal="center" vertical="top" wrapText="1"/>
    </x:xf>
    <x:xf numFmtId="0" fontId="2" fillId="3" borderId="49" xfId="0" applyNumberFormat="1" applyFont="1" applyFill="1" applyBorder="1" applyAlignment="1">
      <x:alignment horizontal="center" vertical="top" wrapText="1"/>
    </x:xf>
    <x:xf numFmtId="0" fontId="2" fillId="3" borderId="19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0" xfId="0" applyNumberFormat="1" applyFont="1" applyFill="1" applyBorder="1" applyAlignment="1">
      <x:alignment horizontal="center" vertical="top" wrapText="1"/>
    </x:xf>
    <x:xf numFmtId="0" fontId="2" fillId="3" borderId="21" xfId="0" applyNumberFormat="1" applyFont="1" applyFill="1" applyBorder="1" applyAlignment="1">
      <x:alignment horizontal="center" vertical="top" wrapText="1"/>
    </x:xf>
    <x:xf numFmtId="0" fontId="2" fillId="3" borderId="22" xfId="0" applyNumberFormat="1" applyFont="1" applyFill="1" applyBorder="1" applyAlignment="1">
      <x:alignment horizontal="center" vertical="top" wrapText="1"/>
    </x:xf>
    <x:xf numFmtId="0" fontId="2" fillId="3" borderId="23" xfId="0" applyNumberFormat="1" applyFont="1" applyFill="1" applyBorder="1" applyAlignment="1">
      <x:alignment horizontal="center" vertical="top" wrapText="1"/>
    </x:xf>
    <x:xf numFmtId="0" fontId="0" fillId="4" borderId="1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9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/>
    </x:xf>
    <x:xf numFmtId="200" fontId="0" fillId="0" borderId="20" xfId="0" applyNumberFormat="1" applyFont="1" applyFill="1" applyBorder="1" applyAlignment="1">
      <x:alignment vertical="top"/>
    </x:xf>
    <x:xf numFmtId="0" fontId="0" fillId="4" borderId="13" xfId="0" applyNumberFormat="1" applyFont="1" applyFill="1" applyBorder="1" applyAlignment="1">
      <x:alignment vertical="top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21" xfId="0" applyNumberFormat="1" applyFont="1" applyFill="1" applyBorder="1" applyAlignment="1">
      <x:alignment vertical="top"/>
    </x:xf>
    <x:xf numFmtId="0" fontId="0" fillId="4" borderId="2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/>
    </x:xf>
    <x:xf numFmtId="200" fontId="0" fillId="0" borderId="23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2" fillId="3" borderId="0" xfId="0" applyNumberFormat="1" applyFont="1" applyFill="1" applyBorder="1"/>
    <x:xf numFmtId="201" fontId="2" fillId="3" borderId="3" xfId="0" applyNumberFormat="1" applyFont="1" applyFill="1" applyBorder="1"/>
    <x:xf numFmtId="201" fontId="2" fillId="3" borderId="3" xfId="0" applyNumberFormat="1" applyFont="1" applyFill="1" applyBorder="1" applyAlignment="1">
      <x:alignment wrapText="1"/>
    </x:xf>
    <x:xf numFmtId="201" fontId="2" fillId="3" borderId="3" xfId="0" applyNumberFormat="1" applyFont="1" applyFill="1" applyBorder="1" applyAlignment="1">
      <x:alignment horizontal="center" wrapText="1"/>
    </x:xf>
    <x:xf numFmtId="201" fontId="2" fillId="3" borderId="3" xfId="0" applyNumberFormat="1" applyFont="1" applyFill="1" applyBorder="1" applyAlignment="1">
      <x:alignment horizontal="center" vertical="center" wrapText="1"/>
    </x:xf>
    <x:xf numFmtId="201" fontId="0" fillId="3" borderId="1" xfId="0" applyNumberFormat="1" applyFont="1" applyFill="1" applyBorder="1"/>
    <x:xf numFmtId="201" fontId="2" fillId="3" borderId="1" xfId="0" applyNumberFormat="1" applyFont="1" applyFill="1" applyBorder="1"/>
    <x:xf numFmtId="201" fontId="2" fillId="3" borderId="6" xfId="0" applyNumberFormat="1" applyFont="1" applyFill="1" applyBorder="1"/>
    <x:xf numFmtId="201" fontId="2" fillId="3" borderId="6" xfId="0" applyNumberFormat="1" applyFont="1" applyFill="1" applyBorder="1" applyAlignment="1">
      <x:alignment wrapText="1"/>
    </x:xf>
    <x:xf numFmtId="201" fontId="2" fillId="3" borderId="6" xfId="0" applyNumberFormat="1" applyFont="1" applyFill="1" applyBorder="1" applyAlignment="1">
      <x:alignment horizontal="center" wrapText="1"/>
    </x:xf>
    <x:xf numFmtId="201" fontId="2" fillId="3" borderId="6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0" xfId="0" applyNumberFormat="1" applyFont="1" applyFill="1" applyBorder="1" applyAlignment="1">
      <x:alignment vertical="top"/>
    </x:xf>
    <x:xf numFmtId="0" fontId="0" fillId="0" borderId="51" xfId="0" applyNumberFormat="1" applyFont="1" applyFill="1" applyBorder="1" applyAlignment="1">
      <x:alignment vertical="top"/>
    </x:xf>
    <x:xf numFmtId="0" fontId="0" fillId="0" borderId="52" xfId="0" applyNumberFormat="1" applyFont="1" applyFill="1" applyBorder="1" applyAlignment="1">
      <x:alignment vertical="top"/>
    </x:xf>
    <x:xf numFmtId="0" fontId="0" fillId="0" borderId="53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/>
    <x:xf numFmtId="201" fontId="0" fillId="0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/>
    </x:xf>
    <x:xf numFmtId="201" fontId="0" fillId="0" borderId="23" xfId="0" applyNumberFormat="1" applyFont="1" applyFill="1" applyBorder="1" applyAlignment="1">
      <x:alignment vertical="top"/>
    </x:xf>
    <x:xf numFmtId="0" fontId="0" fillId="3" borderId="1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12" xfId="0" applyNumberFormat="1" applyFont="1" applyFill="1" applyBorder="1" applyAlignment="1">
      <x:alignment vertical="top"/>
    </x:xf>
    <x:xf numFmtId="0" fontId="2" fillId="3" borderId="1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2" xfId="0" applyNumberFormat="1" applyFont="1" applyFill="1" applyBorder="1" applyAlignment="1">
      <x:alignment vertical="top"/>
    </x:xf>
    <x:xf numFmtId="0" fontId="2" fillId="3" borderId="54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2" fillId="3" borderId="55" xfId="0" applyNumberFormat="1" applyFont="1" applyFill="1" applyBorder="1" applyAlignment="1">
      <x:alignment vertical="top"/>
    </x:xf>
    <x:xf numFmtId="0" fontId="2" fillId="3" borderId="54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5" xfId="0" applyNumberFormat="1" applyFont="1" applyFill="1" applyBorder="1" applyAlignment="1">
      <x:alignment vertical="top" wrapText="1"/>
    </x:xf>
    <x:xf numFmtId="0" fontId="2" fillId="3" borderId="54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55" xfId="0" applyNumberFormat="1" applyFont="1" applyFill="1" applyBorder="1" applyAlignment="1">
      <x:alignment horizontal="center" vertical="top" wrapText="1"/>
    </x:xf>
    <x:xf numFmtId="0" fontId="2" fillId="3" borderId="54" xfId="0" applyNumberFormat="1" applyFont="1" applyFill="1" applyBorder="1" applyAlignment="1">
      <x:alignment horizontal="center" vertical="center" wrapText="1"/>
    </x:xf>
    <x:xf numFmtId="0" fontId="2" fillId="3" borderId="55" xfId="0" applyNumberFormat="1" applyFont="1" applyFill="1" applyBorder="1" applyAlignment="1">
      <x:alignment horizontal="center" vertical="center" wrapText="1"/>
    </x:xf>
    <x:xf numFmtId="0" fontId="0" fillId="3" borderId="19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/>
    </x:xf>
    <x:xf numFmtId="0" fontId="0" fillId="3" borderId="20" xfId="0" applyNumberFormat="1" applyFont="1" applyFill="1" applyBorder="1" applyAlignment="1">
      <x:alignment vertical="top"/>
    </x:xf>
    <x:xf numFmtId="0" fontId="2" fillId="3" borderId="19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20" xfId="0" applyNumberFormat="1" applyFont="1" applyFill="1" applyBorder="1" applyAlignment="1">
      <x:alignment vertical="top"/>
    </x:xf>
    <x:xf numFmtId="0" fontId="2" fillId="3" borderId="56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57" xfId="0" applyNumberFormat="1" applyFont="1" applyFill="1" applyBorder="1" applyAlignment="1">
      <x:alignment vertical="top"/>
    </x:xf>
    <x:xf numFmtId="0" fontId="2" fillId="3" borderId="5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57" xfId="0" applyNumberFormat="1" applyFont="1" applyFill="1" applyBorder="1" applyAlignment="1">
      <x:alignment vertical="top" wrapText="1"/>
    </x:xf>
    <x:xf numFmtId="0" fontId="2" fillId="3" borderId="56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57" xfId="0" applyNumberFormat="1" applyFont="1" applyFill="1" applyBorder="1" applyAlignment="1">
      <x:alignment horizontal="center" vertical="top" wrapText="1"/>
    </x:xf>
    <x:xf numFmtId="0" fontId="2" fillId="3" borderId="56" xfId="0" applyNumberFormat="1" applyFont="1" applyFill="1" applyBorder="1" applyAlignment="1">
      <x:alignment horizontal="center" vertical="center" wrapText="1"/>
    </x:xf>
    <x:xf numFmtId="0" fontId="2" fillId="3" borderId="5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1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5" borderId="12" xfId="0" applyNumberFormat="1" applyFont="1" applyFill="1" applyBorder="1" applyAlignment="1">
      <x:alignment vertical="top"/>
    </x:xf>
    <x:xf numFmtId="0" fontId="0" fillId="5" borderId="13" xfId="0" applyNumberFormat="1" applyFont="1" applyFill="1" applyBorder="1" applyAlignment="1">
      <x:alignment vertical="top"/>
    </x:xf>
    <x:xf numFmtId="0" fontId="0" fillId="5" borderId="14" xfId="0" applyNumberFormat="1" applyFont="1" applyFill="1" applyBorder="1" applyAlignment="1">
      <x:alignment vertical="top"/>
    </x:xf>
    <x:xf numFmtId="0" fontId="0" fillId="5" borderId="15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9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0" fillId="5" borderId="20" xfId="0" applyNumberFormat="1" applyFont="1" applyFill="1" applyBorder="1" applyAlignment="1">
      <x:alignment vertical="top"/>
    </x:xf>
    <x:xf numFmtId="0" fontId="0" fillId="5" borderId="21" xfId="0" applyNumberFormat="1" applyFont="1" applyFill="1" applyBorder="1" applyAlignment="1">
      <x:alignment vertical="top"/>
    </x:xf>
    <x:xf numFmtId="0" fontId="0" fillId="5" borderId="22" xfId="0" applyNumberFormat="1" applyFont="1" applyFill="1" applyBorder="1" applyAlignment="1">
      <x:alignment vertical="top"/>
    </x:xf>
    <x:xf numFmtId="0" fontId="0" fillId="5" borderId="23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54" xfId="0" applyNumberFormat="1" applyFont="1" applyFill="1" applyBorder="1" applyAlignment="1">
      <x:alignment horizontal="center" vertical="center" wrapText="1"/>
    </x:xf>
    <x:xf numFmtId="0" fontId="2" fillId="6" borderId="55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6" borderId="56" xfId="0" applyNumberFormat="1" applyFont="1" applyFill="1" applyBorder="1" applyAlignment="1">
      <x:alignment horizontal="center" vertical="center" wrapText="1"/>
    </x:xf>
    <x:xf numFmtId="0" fontId="2" fillId="6" borderId="57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2" fillId="6" borderId="54" xfId="0" applyNumberFormat="1" applyFont="1" applyFill="1" applyBorder="1" applyAlignment="1">
      <x:alignment horizontal="center" vertical="top" wrapText="1"/>
    </x:xf>
    <x:xf numFmtId="0" fontId="2" fillId="6" borderId="3" xfId="0" applyNumberFormat="1" applyFont="1" applyFill="1" applyBorder="1" applyAlignment="1">
      <x:alignment horizontal="center" vertical="top" wrapText="1"/>
    </x:xf>
    <x:xf numFmtId="0" fontId="2" fillId="6" borderId="5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69693128d48bf" /><Relationship Type="http://schemas.openxmlformats.org/officeDocument/2006/relationships/theme" Target="/xl/theme/theme1.xml" Id="R844fc08c7e5645f6" /><Relationship Type="http://schemas.openxmlformats.org/officeDocument/2006/relationships/sharedStrings" Target="/xl/sharedStrings.xml" Id="Ra038c9bbb9f143d1" /><Relationship Type="http://schemas.openxmlformats.org/officeDocument/2006/relationships/worksheet" Target="/xl/worksheets/sheet1.xml" Id="Rd1de4da09fa640e6" /><Relationship Type="http://schemas.openxmlformats.org/officeDocument/2006/relationships/worksheet" Target="/xl/worksheets/sheet2.xml" Id="R84264c6c731e4066" /><Relationship Type="http://schemas.openxmlformats.org/officeDocument/2006/relationships/worksheet" Target="/xl/worksheets/sheet3.xml" Id="Rc0e2d26af0004691" /><Relationship Type="http://schemas.openxmlformats.org/officeDocument/2006/relationships/worksheet" Target="/xl/worksheets/sheet4.xml" Id="R9c06a0d7442c4a52" /><Relationship Type="http://schemas.openxmlformats.org/officeDocument/2006/relationships/worksheet" Target="/xl/worksheets/sheet5.xml" Id="R5d4ef27fb9c349db" /><Relationship Type="http://schemas.openxmlformats.org/officeDocument/2006/relationships/worksheet" Target="/xl/worksheets/sheet6.xml" Id="R1ee1e43d589a435c" /><Relationship Type="http://schemas.openxmlformats.org/officeDocument/2006/relationships/worksheet" Target="/xl/worksheets/sheet7.xml" Id="Rc73fa787acdc436c" /><Relationship Type="http://schemas.openxmlformats.org/officeDocument/2006/relationships/worksheet" Target="/xl/worksheets/sheet8.xml" Id="Rdeb63382bb55479b" /><Relationship Type="http://schemas.openxmlformats.org/officeDocument/2006/relationships/worksheet" Target="/xl/worksheets/sheet9.xml" Id="Rc55e0beb4daf4aae" /><Relationship Type="http://schemas.openxmlformats.org/officeDocument/2006/relationships/worksheet" Target="/xl/worksheets/sheet10.xml" Id="R5a1dac863ec74575" /><Relationship Type="http://schemas.openxmlformats.org/officeDocument/2006/relationships/worksheet" Target="/xl/worksheets/sheet11.xml" Id="R7917bb08a8a74878" /><Relationship Type="http://schemas.openxmlformats.org/officeDocument/2006/relationships/worksheet" Target="/xl/worksheets/sheet12.xml" Id="Rb0dfc8f587e74e4c" /><Relationship Type="http://schemas.openxmlformats.org/officeDocument/2006/relationships/worksheet" Target="/xl/worksheets/sheet13.xml" Id="Refdeeedea358450e" /><Relationship Type="http://schemas.openxmlformats.org/officeDocument/2006/relationships/worksheet" Target="/xl/worksheets/sheet14.xml" Id="R7c893362f8ed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55" hidden="0" customWidth="1"/>
    <x:col min="4" max="4" width="18" hidden="0" customWidth="1"/>
    <x:col min="5" max="5" width="45" hidden="0" customWidth="1"/>
  </x:cols>
  <x:sheetData>
    <x:row r="1" ht="28" customHeight="1">
      <x:c r="A1" s="5" t="str">
        <x:v>SELF ASSESSMENT KESIAPAN IMPLEMENTASI MODUL OBE - S1 SISTEM DAN TEKNOLOGI INFORMASI</x:v>
      </x:c>
      <x:c r="B1" s="5"/>
      <x:c r="C1" s="5"/>
      <x:c r="D1" s="5"/>
      <x:c r="E1" s="5"/>
    </x:row>
    <x:row r="2">
      <x:c r="A2" s="55" t="str">
        <x:v>No</x:v>
      </x:c>
      <x:c r="B2" s="56" t="str">
        <x:v>Aspek</x:v>
      </x:c>
      <x:c r="C2" s="56" t="str">
        <x:v>Kriteria/Pertanyaan Kesiapan</x:v>
      </x:c>
      <x:c r="D2" s="56" t="str">
        <x:v>Status</x:v>
      </x:c>
      <x:c r="E2" s="57" t="str">
        <x:v>Catatan</x:v>
      </x:c>
    </x:row>
    <x:row r="3">
      <x:c r="A3" s="58" t="n">
        <x:v>1</x:v>
      </x:c>
      <x:c r="B3" s="59" t="str">
        <x:v>Kurikulum OBE</x:v>
      </x:c>
      <x:c r="C3" s="73" t="str">
        <x:v>Profil lulusan tersedia dan menggambarkan peran lulusan.</x:v>
      </x:c>
      <x:c r="D3" s="59" t="str">
        <x:v>Ya</x:v>
      </x:c>
      <x:c r="E3" s="77" t="str">
        <x:v>6 PL telah dirumuskan.</x:v>
      </x:c>
    </x:row>
    <x:row r="4">
      <x:c r="A4" s="58" t="n">
        <x:v>2</x:v>
      </x:c>
      <x:c r="B4" s="59" t="str">
        <x:v>Kurikulum OBE</x:v>
      </x:c>
      <x:c r="C4" s="73" t="str">
        <x:v>Jumlah profil lulusan &gt; 3 dan mencakup bekerja/wirausaha.</x:v>
      </x:c>
      <x:c r="D4" s="59" t="str">
        <x:v>Ya</x:v>
      </x:c>
      <x:c r="E4" s="77" t="str">
        <x:v>6 PL, termasuk Digital Technopreneur.</x:v>
      </x:c>
    </x:row>
    <x:row r="5">
      <x:c r="A5" s="58" t="n">
        <x:v>3</x:v>
      </x:c>
      <x:c r="B5" s="59" t="str">
        <x:v>Kurikulum OBE</x:v>
      </x:c>
      <x:c r="C5" s="73" t="str">
        <x:v>Profil lulusan disajikan dengan kode, nama, deskripsi, dan profesi.</x:v>
      </x:c>
      <x:c r="D5" s="59" t="str">
        <x:v>Ya</x:v>
      </x:c>
      <x:c r="E5" s="77" t="str">
        <x:v>Tersedia pada sheet 1.</x:v>
      </x:c>
    </x:row>
    <x:row r="6">
      <x:c r="A6" s="58" t="n">
        <x:v>4</x:v>
      </x:c>
      <x:c r="B6" s="59" t="str">
        <x:v>Kurikulum OBE</x:v>
      </x:c>
      <x:c r="C6" s="73" t="str">
        <x:v>CPL prodi tersedia dan dirumuskan dengan KKO + konten + konteks.</x:v>
      </x:c>
      <x:c r="D6" s="59" t="str">
        <x:v>Ya</x:v>
      </x:c>
      <x:c r="E6" s="77" t="str">
        <x:v>10 CPL dirancang pada sheet 2.</x:v>
      </x:c>
    </x:row>
    <x:row r="7">
      <x:c r="A7" s="58" t="n">
        <x:v>5</x:v>
      </x:c>
      <x:c r="B7" s="59" t="str">
        <x:v>Kurikulum OBE</x:v>
      </x:c>
      <x:c r="C7" s="73" t="str">
        <x:v>Jumlah CPL berada pada rentang 10-15.</x:v>
      </x:c>
      <x:c r="D7" s="59" t="str">
        <x:v>Ya</x:v>
      </x:c>
      <x:c r="E7" s="77" t="str">
        <x:v>Jumlah CPL = 10.</x:v>
      </x:c>
    </x:row>
    <x:row r="8">
      <x:c r="A8" s="58" t="n">
        <x:v>6</x:v>
      </x:c>
      <x:c r="B8" s="59" t="str">
        <x:v>Kurikulum OBE</x:v>
      </x:c>
      <x:c r="C8" s="73" t="str">
        <x:v>Semua CPL dipetakan ke Profil Lulusan.</x:v>
      </x:c>
      <x:c r="D8" s="59" t="str">
        <x:v>Ya</x:v>
      </x:c>
      <x:c r="E8" s="77" t="str">
        <x:v>Tersedia pada sheet 3.</x:v>
      </x:c>
    </x:row>
    <x:row r="9">
      <x:c r="A9" s="58" t="n">
        <x:v>7</x:v>
      </x:c>
      <x:c r="B9" s="59" t="str">
        <x:v>Kurikulum OBE</x:v>
      </x:c>
      <x:c r="C9" s="73" t="str">
        <x:v>Setiap PL ditopang minimal 3 CPL.</x:v>
      </x:c>
      <x:c r="D9" s="59" t="str">
        <x:v>Ya</x:v>
      </x:c>
      <x:c r="E9" s="77" t="str">
        <x:v>Seluruh PL ditopang 4-7 CPL.</x:v>
      </x:c>
    </x:row>
    <x:row r="10">
      <x:c r="A10" s="58" t="n">
        <x:v>8</x:v>
      </x:c>
      <x:c r="B10" s="59" t="str">
        <x:v>Kurikulum OBE</x:v>
      </x:c>
      <x:c r="C10" s="73" t="str">
        <x:v>Semua mata kuliah dipetakan terhadap CPL.</x:v>
      </x:c>
      <x:c r="D10" s="59" t="str">
        <x:v>Ya</x:v>
      </x:c>
      <x:c r="E10" s="77" t="str">
        <x:v>56 MK dipetakan pada sheet 4.</x:v>
      </x:c>
    </x:row>
    <x:row r="11">
      <x:c r="A11" s="58" t="n">
        <x:v>9</x:v>
      </x:c>
      <x:c r="B11" s="59" t="str">
        <x:v>Kurikulum OBE</x:v>
      </x:c>
      <x:c r="C11" s="73" t="str">
        <x:v>Struktur mata kuliah per semester dan total SKS tersedia.</x:v>
      </x:c>
      <x:c r="D11" s="59" t="str">
        <x:v>Ya</x:v>
      </x:c>
      <x:c r="E11" s="77" t="str">
        <x:v>Kurikulum 2025: 56 MK, 146 SKS, 8 semester.</x:v>
      </x:c>
    </x:row>
    <x:row r="12">
      <x:c r="A12" s="58" t="n">
        <x:v>10</x:v>
      </x:c>
      <x:c r="B12" s="59" t="str">
        <x:v>Kurikulum OBE</x:v>
      </x:c>
      <x:c r="C12" s="73" t="str">
        <x:v>Peta pemenuhan CPL oleh mata kuliah tersedia.</x:v>
      </x:c>
      <x:c r="D12" s="59" t="str">
        <x:v>Ya</x:v>
      </x:c>
      <x:c r="E12" s="77" t="str">
        <x:v>Menggunakan level I-R-M pada sheet 6.</x:v>
      </x:c>
    </x:row>
    <x:row r="13">
      <x:c r="A13" s="58" t="n">
        <x:v>11</x:v>
      </x:c>
      <x:c r="B13" s="59" t="str">
        <x:v>Kurikulum OBE</x:v>
      </x:c>
      <x:c r="C13" s="73" t="str">
        <x:v>Bahan Kajian (BK) telah difinalkan dan dipetakan CPL-BK-MK.</x:v>
      </x:c>
      <x:c r="D13" s="59" t="str">
        <x:v>Perlu dilengkapi</x:v>
      </x:c>
      <x:c r="E13" s="77" t="str">
        <x:v>Belum tersedia pada data sumber yang diberikan.</x:v>
      </x:c>
    </x:row>
    <x:row r="14">
      <x:c r="A14" s="58" t="n">
        <x:v>12</x:v>
      </x:c>
      <x:c r="B14" s="59" t="str">
        <x:v>OBLT</x:v>
      </x:c>
      <x:c r="C14" s="73" t="str">
        <x:v>Setiap mata kuliah memiliki RPS berbasis CPL/CPMK/Sub-CPMK.</x:v>
      </x:c>
      <x:c r="D14" s="59" t="str">
        <x:v>Perlu dilengkapi</x:v>
      </x:c>
      <x:c r="E14" s="77" t="str">
        <x:v>Sheet 7 memberi contoh 6 mata kuliah; RPS seluruh MK perlu disusun/diinput.</x:v>
      </x:c>
    </x:row>
    <x:row r="15">
      <x:c r="A15" s="58" t="n">
        <x:v>13</x:v>
      </x:c>
      <x:c r="B15" s="59" t="str">
        <x:v>OBLT</x:v>
      </x:c>
      <x:c r="C15" s="73" t="str">
        <x:v>Metode pembelajaran selaras dengan CPMK dan asesmen.</x:v>
      </x:c>
      <x:c r="D15" s="59" t="str">
        <x:v>Sebagian</x:v>
      </x:c>
      <x:c r="E15" s="77" t="str">
        <x:v>Contoh tersedia pada sheet 7.</x:v>
      </x:c>
    </x:row>
    <x:row r="16">
      <x:c r="A16" s="58" t="n">
        <x:v>14</x:v>
      </x:c>
      <x:c r="B16" s="59" t="str">
        <x:v>OBLAE</x:v>
      </x:c>
      <x:c r="C16" s="73" t="str">
        <x:v>Rencana evaluasi dan bobot penilaian setiap MK tersedia.</x:v>
      </x:c>
      <x:c r="D16" s="59" t="str">
        <x:v>Sebagian</x:v>
      </x:c>
      <x:c r="E16" s="77" t="str">
        <x:v>Template evaluasi tersedia pada sheet 8-11.</x:v>
      </x:c>
    </x:row>
    <x:row r="17">
      <x:c r="A17" s="58" t="n">
        <x:v>15</x:v>
      </x:c>
      <x:c r="B17" s="59" t="str">
        <x:v>OBLAE</x:v>
      </x:c>
      <x:c r="C17" s="73" t="str">
        <x:v>Capaian CPMK dan CPL dihitung dari data nilai aktual mahasiswa.</x:v>
      </x:c>
      <x:c r="D17" s="59" t="str">
        <x:v>Belum</x:v>
      </x:c>
      <x:c r="E17" s="77" t="str">
        <x:v>Memerlukan data hasil asesmen aktual.</x:v>
      </x:c>
    </x:row>
    <x:row r="18">
      <x:c r="A18" s="58" t="n">
        <x:v>16</x:v>
      </x:c>
      <x:c r="B18" s="59" t="str">
        <x:v>OBLAE</x:v>
      </x:c>
      <x:c r="C18" s="73" t="str">
        <x:v>Analisis ketercapaian dan continuous improvement dilakukan berkala.</x:v>
      </x:c>
      <x:c r="D18" s="59" t="str">
        <x:v>Belum</x:v>
      </x:c>
      <x:c r="E18" s="77" t="str">
        <x:v>Dijalankan setelah data implementasi semester tersedia.</x:v>
      </x:c>
    </x:row>
    <x:row r="19">
      <x:c r="A19" s="61" t="n">
        <x:v>17</x:v>
      </x:c>
      <x:c r="B19" s="62" t="str">
        <x:v>Dokumen</x:v>
      </x:c>
      <x:c r="C19" s="74" t="str">
        <x:v>Landasan, tracer study, PEO/Tujuan Pendidikan, dan referensi kurikulum telah terdokumentasi.</x:v>
      </x:c>
      <x:c r="D19" s="62" t="str">
        <x:v>Perlu verifikasi</x:v>
      </x:c>
      <x:c r="E19" s="78" t="str">
        <x:v>Tidak seluruhnya terdapat pada lampiran yang digunakan.</x:v>
      </x:c>
    </x:row>
  </x:sheetData>
  <x:mergeCells>
    <x:mergeCell ref="A1:E1"/>
  </x:mergeCells>
  <x:conditionalFormatting sqref="D3:D19">
    <x:cfRule type="expression" dxfId="0" priority="1">
      <x:formula>D3="Ya"</x:formula>
    </x:cfRule>
    <x:cfRule type="expression" dxfId="1" priority="2">
      <x:formula>D3="Belum"</x:formula>
    </x:cfRule>
    <x:cfRule type="expression" dxfId="2" priority="3">
      <x:formula>OR(D3="Sebagian",D3="Perlu dilengkapi",D3="Perlu verifikasi")</x:formula>
    </x:cfRule>
  </x:conditionalFormatting>
  <x:dataValidations count="1">
    <x:dataValidation type="list" sqref="D3:D19">
      <x:formula1>"Ya,Sebagian,Perlu dilengkapi,Perlu verifikasi,Belum"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4" hidden="0" customWidth="1"/>
    <x:col min="4" max="4" width="60" hidden="0" customWidth="1"/>
    <x:col min="5" max="5" width="44" hidden="0" customWidth="1"/>
  </x:cols>
  <x:sheetData>
    <x:row r="1" ht="28" customHeight="1">
      <x:c r="A1" s="5" t="str">
        <x:v>PROFIL LULUSAN (PL) - S1 SISTEM DAN TEKNOLOGI INFORMASI</x:v>
      </x:c>
      <x:c r="B1" s="5"/>
      <x:c r="C1" s="5"/>
      <x:c r="D1" s="5"/>
      <x:c r="E1" s="5"/>
    </x:row>
    <x:row r="2">
      <x:c r="A2" s="55" t="str">
        <x:v>No</x:v>
      </x:c>
      <x:c r="B2" s="56" t="str">
        <x:v>Kode PL</x:v>
      </x:c>
      <x:c r="C2" s="56" t="str">
        <x:v>Nama Profil Lulusan</x:v>
      </x:c>
      <x:c r="D2" s="56" t="str">
        <x:v>Deskripsi Profil Lulusan</x:v>
      </x:c>
      <x:c r="E2" s="57" t="str">
        <x:v>Profesi / Bidang Karier</x:v>
      </x:c>
    </x:row>
    <x:row r="3">
      <x:c r="A3" s="58" t="n">
        <x:v>1</x:v>
      </x:c>
      <x:c r="B3" s="59" t="str">
        <x:v>PL01</x:v>
      </x:c>
      <x:c r="C3" s="73" t="str">
        <x:v>AI-Driven System Developer</x:v>
      </x:c>
      <x:c r="D3" s="73" t="str">
        <x:v>Lulusan mampu mengembangkan sistem informasi berbasis AI sesuai kebutuhan pengguna dan organisasi secara profesional, adaptif, dan bertanggung jawab.</x:v>
      </x:c>
      <x:c r="E3" s="77" t="str">
        <x:v>AI Application Developer; Machine Learning Developer; Software Developer</x:v>
      </x:c>
    </x:row>
    <x:row r="4">
      <x:c r="A4" s="58" t="n">
        <x:v>2</x:v>
      </x:c>
      <x:c r="B4" s="59" t="str">
        <x:v>PL02</x:v>
      </x:c>
      <x:c r="C4" s="73" t="str">
        <x:v>Human-Centered UX and Gamification Designer</x:v>
      </x:c>
      <x:c r="D4" s="73" t="str">
        <x:v>Lulusan mampu merancang pengalaman pengguna dan gamifikasi berdasarkan kebutuhan pengguna secara inklusif, efektif, dan berorientasi pengguna.</x:v>
      </x:c>
      <x:c r="E4" s="77" t="str">
        <x:v>UI/UX Designer; UX Researcher; Interaction/Gamification Designer</x:v>
      </x:c>
    </x:row>
    <x:row r="5">
      <x:c r="A5" s="58" t="n">
        <x:v>3</x:v>
      </x:c>
      <x:c r="B5" s="59" t="str">
        <x:v>PL03</x:v>
      </x:c>
      <x:c r="C5" s="73" t="str">
        <x:v>IoT and Multimedia System Integrator</x:v>
      </x:c>
      <x:c r="D5" s="73" t="str">
        <x:v>Lulusan mampu mengembangkan dan mengintegrasikan sistem IoT dan multimedia sesuai kebutuhan penerapan secara andal dan efektif.</x:v>
      </x:c>
      <x:c r="E5" s="77" t="str">
        <x:v>IoT Developer; System Integrator; Multimedia/Smart System Developer</x:v>
      </x:c>
    </x:row>
    <x:row r="6">
      <x:c r="A6" s="58" t="n">
        <x:v>4</x:v>
      </x:c>
      <x:c r="B6" s="59" t="str">
        <x:v>PL04</x:v>
      </x:c>
      <x:c r="C6" s="73" t="str">
        <x:v>Semantic Knowledge and Data Integration Engineer</x:v>
      </x:c>
      <x:c r="D6" s="73" t="str">
        <x:v>Lulusan mampu mengelola dan mengintegrasikan data serta pengetahuan pada sistem lintas platform secara terstruktur dan interoperabel.</x:v>
      </x:c>
      <x:c r="E6" s="77" t="str">
        <x:v>Knowledge Engineer; Data Integration Engineer; Semantic Web Developer</x:v>
      </x:c>
    </x:row>
    <x:row r="7">
      <x:c r="A7" s="58" t="n">
        <x:v>5</x:v>
      </x:c>
      <x:c r="B7" s="59" t="str">
        <x:v>PL05</x:v>
      </x:c>
      <x:c r="C7" s="73" t="str">
        <x:v>Digital Technopreneur</x:v>
      </x:c>
      <x:c r="D7" s="73" t="str">
        <x:v>Lulusan mampu mengembangkan usaha dan inovasi digital berdasarkan kebutuhan pasar dan masyarakat secara kreatif, etis, dan berkelanjutan.</x:v>
      </x:c>
      <x:c r="E7" s="77" t="str">
        <x:v>Technopreneur; Startup Founder; Digital Product Manager</x:v>
      </x:c>
    </x:row>
    <x:row r="8">
      <x:c r="A8" s="61" t="n">
        <x:v>6</x:v>
      </x:c>
      <x:c r="B8" s="62" t="str">
        <x:v>PL06</x:v>
      </x:c>
      <x:c r="C8" s="74" t="str">
        <x:v>Digital Governance and System Analyst</x:v>
      </x:c>
      <x:c r="D8" s="74" t="str">
        <x:v>Lulusan mampu menganalisis sistem serta mendukung tata kelola dan transformasi digital organisasi secara sistematis, profesional, dan bertanggung jawab.</x:v>
      </x:c>
      <x:c r="E8" s="78" t="str">
        <x:v>System Analyst; IT Governance Analyst; Digital Transformation Analyst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68" hidden="0" customWidth="1"/>
    <x:col min="4" max="4" width="32" hidden="0" customWidth="1"/>
    <x:col min="5" max="5" width="24" hidden="0" customWidth="1"/>
    <x:col min="6" max="6" width="38" hidden="0" customWidth="1"/>
  </x:cols>
  <x:sheetData>
    <x:row r="1" ht="28" customHeight="1">
      <x:c r="A1" s="5" t="str">
        <x:v>CAPAIAN PEMBELAJARAN LULUSAN (CPL) - 10 OUTCOMES</x:v>
      </x:c>
      <x:c r="B1" s="5"/>
      <x:c r="C1" s="5"/>
      <x:c r="D1" s="5"/>
      <x:c r="E1" s="5"/>
      <x:c r="F1" s="5"/>
    </x:row>
    <x:row r="2">
      <x:c r="A2" s="83" t="str">
        <x:v>CPL dirumuskan sebagai outcome program: kata kerja kemampuan + konten/bahan kajian + konteks keilmuan. Rumusan berikut merupakan rancangan untuk validasi tim kurikulum.</x:v>
      </x:c>
      <x:c r="B2" s="83"/>
      <x:c r="C2" s="83"/>
      <x:c r="D2" s="83"/>
      <x:c r="E2" s="83"/>
      <x:c r="F2" s="83"/>
    </x:row>
    <x:row r="3">
      <x:c r="A3" s="55" t="str">
        <x:v>No</x:v>
      </x:c>
      <x:c r="B3" s="56" t="str">
        <x:v>Kode CPL</x:v>
      </x:c>
      <x:c r="C3" s="56" t="str">
        <x:v>Rumusan CPL</x:v>
      </x:c>
      <x:c r="D3" s="56" t="str">
        <x:v>Fokus/Domain</x:v>
      </x:c>
      <x:c r="E3" s="56" t="str">
        <x:v>PL Terkait</x:v>
      </x:c>
      <x:c r="F3" s="57" t="str">
        <x:v>Sumber/Referensi</x:v>
      </x:c>
    </x:row>
    <x:row r="4">
      <x:c r="A4" s="58" t="n">
        <x:v>1</x:v>
      </x:c>
      <x:c r="B4" s="59" t="str">
        <x:v>CPL01</x:v>
      </x:c>
      <x:c r="C4" s="73" t="str">
        <x:v>Mampu menganalisis kebutuhan pengguna, proses bisnis, dan permasalahan organisasi untuk merancang solusi sistem dan teknologi informasi yang sesuai.</x:v>
      </x:c>
      <x:c r="D4" s="73" t="str">
        <x:v>Analisis kebutuhan &amp; perancangan solusi</x:v>
      </x:c>
      <x:c r="E4" s="73" t="str">
        <x:v>PL01, PL02, PL06</x:v>
      </x:c>
      <x:c r="F4" s="77" t="str">
        <x:v>Turunan 6 PL + struktur Kurikulum 2025; validasi prodi</x:v>
      </x:c>
    </x:row>
    <x:row r="5">
      <x:c r="A5" s="58" t="n">
        <x:v>2</x:v>
      </x:c>
      <x:c r="B5" s="59" t="str">
        <x:v>CPL02</x:v>
      </x:c>
      <x:c r="C5" s="73" t="str">
        <x:v>Mampu merancang, membangun, menguji, dan mengintegrasikan perangkat lunak, basis data, API, dan layanan cloud untuk menghasilkan sistem informasi yang andal.</x:v>
      </x:c>
      <x:c r="D5" s="73" t="str">
        <x:v>Pengembangan perangkat lunak &amp; platform</x:v>
      </x:c>
      <x:c r="E5" s="73" t="str">
        <x:v>PL01, PL03, PL04</x:v>
      </x:c>
      <x:c r="F5" s="77" t="str">
        <x:v>Turunan 6 PL + struktur Kurikulum 2025; validasi prodi</x:v>
      </x:c>
    </x:row>
    <x:row r="6">
      <x:c r="A6" s="58" t="n">
        <x:v>3</x:v>
      </x:c>
      <x:c r="B6" s="59" t="str">
        <x:v>CPL03</x:v>
      </x:c>
      <x:c r="C6" s="73" t="str">
        <x:v>Mampu menerapkan metode komputasi, analitika data, kecerdasan buatan, dan machine learning untuk menghasilkan solusi cerdas dan rekomendasi berbasis data.</x:v>
      </x:c>
      <x:c r="D6" s="73" t="str">
        <x:v>AI, komputasi &amp; analitika data</x:v>
      </x:c>
      <x:c r="E6" s="73" t="str">
        <x:v>PL01, PL04, PL06</x:v>
      </x:c>
      <x:c r="F6" s="77" t="str">
        <x:v>Turunan 6 PL + struktur Kurikulum 2025; validasi prodi</x:v>
      </x:c>
    </x:row>
    <x:row r="7">
      <x:c r="A7" s="58" t="n">
        <x:v>4</x:v>
      </x:c>
      <x:c r="B7" s="59" t="str">
        <x:v>CPL04</x:v>
      </x:c>
      <x:c r="C7" s="73" t="str">
        <x:v>Mampu merancang dan mengevaluasi antarmuka, pengalaman pengguna, gamifikasi, dan multimedia interaktif dengan pendekatan human-centered yang inklusif.</x:v>
      </x:c>
      <x:c r="D7" s="73" t="str">
        <x:v>UX, gamifikasi &amp; multimedia</x:v>
      </x:c>
      <x:c r="E7" s="73" t="str">
        <x:v>PL02, PL03, PL05</x:v>
      </x:c>
      <x:c r="F7" s="77" t="str">
        <x:v>Turunan 6 PL + struktur Kurikulum 2025; validasi prodi</x:v>
      </x:c>
    </x:row>
    <x:row r="8">
      <x:c r="A8" s="58" t="n">
        <x:v>5</x:v>
      </x:c>
      <x:c r="B8" s="59" t="str">
        <x:v>CPL05</x:v>
      </x:c>
      <x:c r="C8" s="73" t="str">
        <x:v>Mampu merancang dan mengintegrasikan IoT, jaringan, sensor, multimedia, dan layanan komputasi untuk membangun sistem cerdas yang aman dan andal.</x:v>
      </x:c>
      <x:c r="D8" s="73" t="str">
        <x:v>IoT, infrastruktur &amp; integrasi sistem</x:v>
      </x:c>
      <x:c r="E8" s="73" t="str">
        <x:v>PL01, PL03</x:v>
      </x:c>
      <x:c r="F8" s="77" t="str">
        <x:v>Turunan 6 PL + struktur Kurikulum 2025; validasi prodi</x:v>
      </x:c>
    </x:row>
    <x:row r="9">
      <x:c r="A9" s="58" t="n">
        <x:v>6</x:v>
      </x:c>
      <x:c r="B9" s="59" t="str">
        <x:v>CPL06</x:v>
      </x:c>
      <x:c r="C9" s="73" t="str">
        <x:v>Mampu mengelola, mengintegrasikan, dan merepresentasikan data serta pengetahuan menggunakan basis data, semantic web, ontologi, data warehouse, dan teknologi interoperabilitas.</x:v>
      </x:c>
      <x:c r="D9" s="73" t="str">
        <x:v>Data, knowledge &amp; interoperability</x:v>
      </x:c>
      <x:c r="E9" s="73" t="str">
        <x:v>PL04, PL06</x:v>
      </x:c>
      <x:c r="F9" s="77" t="str">
        <x:v>Turunan 6 PL + struktur Kurikulum 2025; validasi prodi</x:v>
      </x:c>
    </x:row>
    <x:row r="10">
      <x:c r="A10" s="58" t="n">
        <x:v>7</x:v>
      </x:c>
      <x:c r="B10" s="59" t="str">
        <x:v>CPL07</x:v>
      </x:c>
      <x:c r="C10" s="73" t="str">
        <x:v>Mampu menganalisis dan menerapkan tata kelola, audit, keamanan, etika, hukum, dan kebijakan teknologi informasi untuk mendukung transformasi digital organisasi secara bertanggung jawab.</x:v>
      </x:c>
      <x:c r="D10" s="73" t="str">
        <x:v>Tata kelola, keamanan &amp; kebijakan digital</x:v>
      </x:c>
      <x:c r="E10" s="73" t="str">
        <x:v>PL05, PL06</x:v>
      </x:c>
      <x:c r="F10" s="77" t="str">
        <x:v>Turunan 6 PL + struktur Kurikulum 2025; validasi prodi</x:v>
      </x:c>
    </x:row>
    <x:row r="11">
      <x:c r="A11" s="58" t="n">
        <x:v>8</x:v>
      </x:c>
      <x:c r="B11" s="59" t="str">
        <x:v>CPL08</x:v>
      </x:c>
      <x:c r="C11" s="73" t="str">
        <x:v>Mampu merancang dan mengelola proyek, produk, model bisnis, serta inovasi digital berbasis kebutuhan pasar dan masyarakat secara kreatif dan berkelanjutan.</x:v>
      </x:c>
      <x:c r="D11" s="73" t="str">
        <x:v>Proyek, inovasi &amp; technopreneurship</x:v>
      </x:c>
      <x:c r="E11" s="73" t="str">
        <x:v>PL01, PL02, PL05</x:v>
      </x:c>
      <x:c r="F11" s="77" t="str">
        <x:v>Turunan 6 PL + struktur Kurikulum 2025; validasi prodi</x:v>
      </x:c>
    </x:row>
    <x:row r="12">
      <x:c r="A12" s="58" t="n">
        <x:v>9</x:v>
      </x:c>
      <x:c r="B12" s="59" t="str">
        <x:v>CPL09</x:v>
      </x:c>
      <x:c r="C12" s="73" t="str">
        <x:v>Mampu menerapkan matematika, statistika, metode penelitian, dan pemikiran komputasional untuk memecahkan masalah serta mengomunikasikan hasil secara ilmiah.</x:v>
      </x:c>
      <x:c r="D12" s="73" t="str">
        <x:v>Fondasi ilmiah &amp; penelitian</x:v>
      </x:c>
      <x:c r="E12" s="73" t="str">
        <x:v>PL01, PL04, PL06</x:v>
      </x:c>
      <x:c r="F12" s="77" t="str">
        <x:v>Turunan 6 PL + struktur Kurikulum 2025; validasi prodi</x:v>
      </x:c>
    </x:row>
    <x:row r="13">
      <x:c r="A13" s="61" t="n">
        <x:v>10</x:v>
      </x:c>
      <x:c r="B13" s="62" t="str">
        <x:v>CPL10</x:v>
      </x:c>
      <x:c r="C13" s="74" t="str">
        <x:v>Mampu bekerja secara profesional dengan integritas, tanggung jawab, komunikasi efektif, kolaborasi, kepemimpinan, dan pembelajaran sepanjang hayat.</x:v>
      </x:c>
      <x:c r="D13" s="74" t="str">
        <x:v>Etika &amp; keterampilan profesional</x:v>
      </x:c>
      <x:c r="E13" s="74" t="str">
        <x:v>PL01, PL02, PL03, PL04, PL05, PL06</x:v>
      </x:c>
      <x:c r="F13" s="78" t="str">
        <x:v>Turunan 6 PL + struktur Kurikulum 2025; validasi prodi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1" hidden="0" customWidth="1"/>
    <x:col min="10" max="10" width="62" hidden="0" customWidth="1"/>
  </x:cols>
  <x:sheetData>
    <x:row r="1" ht="28" customHeight="1">
      <x:c r="A1" s="5" t="str">
        <x:v>MATRIKS KETERKAITAN CPL - PROFIL LULUSAN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5" t="str">
        <x:v>No</x:v>
      </x:c>
      <x:c r="B2" s="56" t="str">
        <x:v>Kode CPL</x:v>
      </x:c>
      <x:c r="C2" s="56" t="str">
        <x:v>PL01</x:v>
      </x:c>
      <x:c r="D2" s="56" t="str">
        <x:v>PL02</x:v>
      </x:c>
      <x:c r="E2" s="56" t="str">
        <x:v>PL03</x:v>
      </x:c>
      <x:c r="F2" s="56" t="str">
        <x:v>PL04</x:v>
      </x:c>
      <x:c r="G2" s="56" t="str">
        <x:v>PL05</x:v>
      </x:c>
      <x:c r="H2" s="56" t="str">
        <x:v>PL06</x:v>
      </x:c>
      <x:c r="I2" s="56" t="str">
        <x:v>Jumlah PL</x:v>
      </x:c>
      <x:c r="J2" s="57" t="str">
        <x:v>Rumusan CPL</x:v>
      </x:c>
    </x:row>
    <x:row r="3">
      <x:c r="A3" s="58" t="n">
        <x:v>1</x:v>
      </x:c>
      <x:c r="B3" s="59" t="str">
        <x:v>CPL01</x:v>
      </x:c>
      <x:c r="C3" s="99" t="str">
        <x:v>V</x:v>
      </x:c>
      <x:c r="D3" s="99" t="str">
        <x:v>V</x:v>
      </x:c>
      <x:c r="E3" s="99"/>
      <x:c r="F3" s="99"/>
      <x:c r="G3" s="99"/>
      <x:c r="H3" s="99" t="str">
        <x:v>V</x:v>
      </x:c>
      <x:c r="I3" s="59" t="n">
        <x:f>COUNTIF(C3:H3,"V")</x:f>
        <x:v>3</x:v>
      </x:c>
      <x:c r="J3" s="77" t="str">
        <x:v>Mampu menganalisis kebutuhan pengguna, proses bisnis, dan permasalahan organisasi untuk merancang solusi sistem dan teknologi informasi yang sesuai.</x:v>
      </x:c>
    </x:row>
    <x:row r="4">
      <x:c r="A4" s="58" t="n">
        <x:v>2</x:v>
      </x:c>
      <x:c r="B4" s="59" t="str">
        <x:v>CPL02</x:v>
      </x:c>
      <x:c r="C4" s="99" t="str">
        <x:v>V</x:v>
      </x:c>
      <x:c r="D4" s="99"/>
      <x:c r="E4" s="99" t="str">
        <x:v>V</x:v>
      </x:c>
      <x:c r="F4" s="99" t="str">
        <x:v>V</x:v>
      </x:c>
      <x:c r="G4" s="99"/>
      <x:c r="H4" s="99"/>
      <x:c r="I4" s="59" t="n">
        <x:f>COUNTIF(C4:H4,"V")</x:f>
        <x:v>3</x:v>
      </x:c>
      <x:c r="J4" s="77" t="str">
        <x:v>Mampu merancang, membangun, menguji, dan mengintegrasikan perangkat lunak, basis data, API, dan layanan cloud untuk menghasilkan sistem informasi yang andal.</x:v>
      </x:c>
    </x:row>
    <x:row r="5">
      <x:c r="A5" s="58" t="n">
        <x:v>3</x:v>
      </x:c>
      <x:c r="B5" s="59" t="str">
        <x:v>CPL03</x:v>
      </x:c>
      <x:c r="C5" s="99" t="str">
        <x:v>V</x:v>
      </x:c>
      <x:c r="D5" s="99"/>
      <x:c r="E5" s="99"/>
      <x:c r="F5" s="99" t="str">
        <x:v>V</x:v>
      </x:c>
      <x:c r="G5" s="99"/>
      <x:c r="H5" s="99" t="str">
        <x:v>V</x:v>
      </x:c>
      <x:c r="I5" s="59" t="n">
        <x:f>COUNTIF(C5:H5,"V")</x:f>
        <x:v>3</x:v>
      </x:c>
      <x:c r="J5" s="77" t="str">
        <x:v>Mampu menerapkan metode komputasi, analitika data, kecerdasan buatan, dan machine learning untuk menghasilkan solusi cerdas dan rekomendasi berbasis data.</x:v>
      </x:c>
    </x:row>
    <x:row r="6">
      <x:c r="A6" s="58" t="n">
        <x:v>4</x:v>
      </x:c>
      <x:c r="B6" s="59" t="str">
        <x:v>CPL04</x:v>
      </x:c>
      <x:c r="C6" s="99"/>
      <x:c r="D6" s="99" t="str">
        <x:v>V</x:v>
      </x:c>
      <x:c r="E6" s="99" t="str">
        <x:v>V</x:v>
      </x:c>
      <x:c r="F6" s="99"/>
      <x:c r="G6" s="99" t="str">
        <x:v>V</x:v>
      </x:c>
      <x:c r="H6" s="99"/>
      <x:c r="I6" s="59" t="n">
        <x:f>COUNTIF(C6:H6,"V")</x:f>
        <x:v>3</x:v>
      </x:c>
      <x:c r="J6" s="77" t="str">
        <x:v>Mampu merancang dan mengevaluasi antarmuka, pengalaman pengguna, gamifikasi, dan multimedia interaktif dengan pendekatan human-centered yang inklusif.</x:v>
      </x:c>
    </x:row>
    <x:row r="7">
      <x:c r="A7" s="58" t="n">
        <x:v>5</x:v>
      </x:c>
      <x:c r="B7" s="59" t="str">
        <x:v>CPL05</x:v>
      </x:c>
      <x:c r="C7" s="99" t="str">
        <x:v>V</x:v>
      </x:c>
      <x:c r="D7" s="99"/>
      <x:c r="E7" s="99" t="str">
        <x:v>V</x:v>
      </x:c>
      <x:c r="F7" s="99"/>
      <x:c r="G7" s="99"/>
      <x:c r="H7" s="99"/>
      <x:c r="I7" s="59" t="n">
        <x:f>COUNTIF(C7:H7,"V")</x:f>
        <x:v>2</x:v>
      </x:c>
      <x:c r="J7" s="77" t="str">
        <x:v>Mampu merancang dan mengintegrasikan IoT, jaringan, sensor, multimedia, dan layanan komputasi untuk membangun sistem cerdas yang aman dan andal.</x:v>
      </x:c>
    </x:row>
    <x:row r="8">
      <x:c r="A8" s="58" t="n">
        <x:v>6</x:v>
      </x:c>
      <x:c r="B8" s="59" t="str">
        <x:v>CPL06</x:v>
      </x:c>
      <x:c r="C8" s="99"/>
      <x:c r="D8" s="99"/>
      <x:c r="E8" s="99"/>
      <x:c r="F8" s="99" t="str">
        <x:v>V</x:v>
      </x:c>
      <x:c r="G8" s="99"/>
      <x:c r="H8" s="99" t="str">
        <x:v>V</x:v>
      </x:c>
      <x:c r="I8" s="59" t="n">
        <x:f>COUNTIF(C8:H8,"V")</x:f>
        <x:v>2</x:v>
      </x:c>
      <x:c r="J8" s="77" t="str">
        <x:v>Mampu mengelola, mengintegrasikan, dan merepresentasikan data serta pengetahuan menggunakan basis data, semantic web, ontologi, data warehouse, dan teknologi interoperabilitas.</x:v>
      </x:c>
    </x:row>
    <x:row r="9">
      <x:c r="A9" s="58" t="n">
        <x:v>7</x:v>
      </x:c>
      <x:c r="B9" s="59" t="str">
        <x:v>CPL07</x:v>
      </x:c>
      <x:c r="C9" s="99"/>
      <x:c r="D9" s="99"/>
      <x:c r="E9" s="99"/>
      <x:c r="F9" s="99"/>
      <x:c r="G9" s="99" t="str">
        <x:v>V</x:v>
      </x:c>
      <x:c r="H9" s="99" t="str">
        <x:v>V</x:v>
      </x:c>
      <x:c r="I9" s="59" t="n">
        <x:f>COUNTIF(C9:H9,"V")</x:f>
        <x:v>2</x:v>
      </x:c>
      <x:c r="J9" s="77" t="str">
        <x:v>Mampu menganalisis dan menerapkan tata kelola, audit, keamanan, etika, hukum, dan kebijakan teknologi informasi untuk mendukung transformasi digital organisasi secara bertanggung jawab.</x:v>
      </x:c>
    </x:row>
    <x:row r="10">
      <x:c r="A10" s="58" t="n">
        <x:v>8</x:v>
      </x:c>
      <x:c r="B10" s="59" t="str">
        <x:v>CPL08</x:v>
      </x:c>
      <x:c r="C10" s="99" t="str">
        <x:v>V</x:v>
      </x:c>
      <x:c r="D10" s="99" t="str">
        <x:v>V</x:v>
      </x:c>
      <x:c r="E10" s="99"/>
      <x:c r="F10" s="99"/>
      <x:c r="G10" s="99" t="str">
        <x:v>V</x:v>
      </x:c>
      <x:c r="H10" s="99"/>
      <x:c r="I10" s="59" t="n">
        <x:f>COUNTIF(C10:H10,"V")</x:f>
        <x:v>3</x:v>
      </x:c>
      <x:c r="J10" s="77" t="str">
        <x:v>Mampu merancang dan mengelola proyek, produk, model bisnis, serta inovasi digital berbasis kebutuhan pasar dan masyarakat secara kreatif dan berkelanjutan.</x:v>
      </x:c>
    </x:row>
    <x:row r="11">
      <x:c r="A11" s="58" t="n">
        <x:v>9</x:v>
      </x:c>
      <x:c r="B11" s="59" t="str">
        <x:v>CPL09</x:v>
      </x:c>
      <x:c r="C11" s="99" t="str">
        <x:v>V</x:v>
      </x:c>
      <x:c r="D11" s="99"/>
      <x:c r="E11" s="99"/>
      <x:c r="F11" s="99" t="str">
        <x:v>V</x:v>
      </x:c>
      <x:c r="G11" s="99"/>
      <x:c r="H11" s="99" t="str">
        <x:v>V</x:v>
      </x:c>
      <x:c r="I11" s="59" t="n">
        <x:f>COUNTIF(C11:H11,"V")</x:f>
        <x:v>3</x:v>
      </x:c>
      <x:c r="J11" s="77" t="str">
        <x:v>Mampu menerapkan matematika, statistika, metode penelitian, dan pemikiran komputasional untuk memecahkan masalah serta mengomunikasikan hasil secara ilmiah.</x:v>
      </x:c>
    </x:row>
    <x:row r="12">
      <x:c r="A12" s="58" t="n">
        <x:v>10</x:v>
      </x:c>
      <x:c r="B12" s="59" t="str">
        <x:v>CPL10</x:v>
      </x:c>
      <x:c r="C12" s="99" t="str">
        <x:v>V</x:v>
      </x:c>
      <x:c r="D12" s="99" t="str">
        <x:v>V</x:v>
      </x:c>
      <x:c r="E12" s="99" t="str">
        <x:v>V</x:v>
      </x:c>
      <x:c r="F12" s="99" t="str">
        <x:v>V</x:v>
      </x:c>
      <x:c r="G12" s="99" t="str">
        <x:v>V</x:v>
      </x:c>
      <x:c r="H12" s="99" t="str">
        <x:v>V</x:v>
      </x:c>
      <x:c r="I12" s="59" t="n">
        <x:f>COUNTIF(C12:H12,"V")</x:f>
        <x:v>6</x:v>
      </x:c>
      <x:c r="J12" s="77" t="str">
        <x:v>Mampu bekerja secara profesional dengan integritas, tanggung jawab, komunikasi efektif, kolaborasi, kepemimpinan, dan pembelajaran sepanjang hayat.</x:v>
      </x:c>
    </x:row>
    <x:row r="13">
      <x:c r="A13" s="93" t="str">
        <x:v>Jumlah CPL per PL</x:v>
      </x:c>
      <x:c r="B13" s="94"/>
      <x:c r="C13" s="94" t="n">
        <x:f>COUNTIF(C3:C12,"V")</x:f>
        <x:v>7</x:v>
      </x:c>
      <x:c r="D13" s="94" t="n">
        <x:f>COUNTIF(D3:D12,"V")</x:f>
        <x:v>4</x:v>
      </x:c>
      <x:c r="E13" s="94" t="n">
        <x:f>COUNTIF(E3:E12,"V")</x:f>
        <x:v>4</x:v>
      </x:c>
      <x:c r="F13" s="94" t="n">
        <x:f>COUNTIF(F3:F12,"V")</x:f>
        <x:v>5</x:v>
      </x:c>
      <x:c r="G13" s="94" t="n">
        <x:f>COUNTIF(G3:G12,"V")</x:f>
        <x:v>4</x:v>
      </x:c>
      <x:c r="H13" s="94" t="n">
        <x:f>COUNTIF(H3:H12,"V")</x:f>
        <x:v>6</x:v>
      </x:c>
      <x:c r="I13" s="94" t="n">
        <x:f>SUM(C13:H13)</x:f>
        <x:v>30</x:v>
      </x:c>
      <x:c r="J13" s="95" t="str">
        <x:v>Kriteria: setiap PL ditopang minimal 3 CPL</x:v>
      </x:c>
    </x:row>
  </x:sheetData>
  <x:mergeCells>
    <x:mergeCell ref="A1:J1"/>
    <x:mergeCell ref="A13:B13"/>
  </x:mergeCells>
  <x:conditionalFormatting sqref="C3:H12">
    <x:cfRule type="expression" dxfId="3" priority="1">
      <x:formula>C3="V"</x:formula>
    </x:cfRule>
  </x:conditionalFormatting>
  <x:conditionalFormatting sqref="C13:H13">
    <x:cfRule type="cellIs" dxfId="4" priority="2" operator="lessThan">
      <x:formula>3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48" hidden="0" customWidth="1"/>
    <x:col min="4" max="4" width="7" hidden="0" customWidth="1"/>
    <x:col min="5" max="5" width="7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1" hidden="0" customWidth="1"/>
    <x:col min="17" max="17" width="36" hidden="0" customWidth="1"/>
  </x:cols>
  <x:sheetData>
    <x:row r="1" ht="28" customHeight="1">
      <x:c r="A1" s="5" t="str">
        <x:v>MATRIKS PEMETAAN CPL - MATA KULIAH (56 MK / 146 SKS)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5" t="str">
        <x:v>No</x:v>
      </x:c>
      <x:c r="B2" s="56" t="str">
        <x:v>Kode MK</x:v>
      </x:c>
      <x:c r="C2" s="56" t="str">
        <x:v>Nama Mata Kuliah</x:v>
      </x:c>
      <x:c r="D2" s="56" t="str">
        <x:v>Smt</x:v>
      </x:c>
      <x:c r="E2" s="56" t="str">
        <x:v>SKS</x:v>
      </x:c>
      <x:c r="F2" s="56" t="str">
        <x:v>CPL01</x:v>
      </x:c>
      <x:c r="G2" s="56" t="str">
        <x:v>CPL02</x:v>
      </x:c>
      <x:c r="H2" s="56" t="str">
        <x:v>CPL03</x:v>
      </x:c>
      <x:c r="I2" s="56" t="str">
        <x:v>CPL04</x:v>
      </x:c>
      <x:c r="J2" s="56" t="str">
        <x:v>CPL05</x:v>
      </x:c>
      <x:c r="K2" s="56" t="str">
        <x:v>CPL06</x:v>
      </x:c>
      <x:c r="L2" s="56" t="str">
        <x:v>CPL07</x:v>
      </x:c>
      <x:c r="M2" s="56" t="str">
        <x:v>CPL08</x:v>
      </x:c>
      <x:c r="N2" s="56" t="str">
        <x:v>CPL09</x:v>
      </x:c>
      <x:c r="O2" s="56" t="str">
        <x:v>CPL10</x:v>
      </x:c>
      <x:c r="P2" s="56" t="str">
        <x:v>Jumlah CPL</x:v>
      </x:c>
      <x:c r="Q2" s="57" t="str">
        <x:v>Catatan</x:v>
      </x:c>
    </x:row>
    <x:row r="3">
      <x:c r="A3" s="58" t="n">
        <x:v>1</x:v>
      </x:c>
      <x:c r="B3" s="59" t="str">
        <x:v>MKU-101</x:v>
      </x:c>
      <x:c r="C3" s="73" t="str">
        <x:v>Agama I</x:v>
      </x:c>
      <x:c r="D3" s="59" t="n">
        <x:v>1</x:v>
      </x:c>
      <x:c r="E3" s="59" t="n">
        <x:v>2</x:v>
      </x:c>
      <x:c r="F3" s="99"/>
      <x:c r="G3" s="99"/>
      <x:c r="H3" s="99"/>
      <x:c r="I3" s="99"/>
      <x:c r="J3" s="99"/>
      <x:c r="K3" s="99"/>
      <x:c r="L3" s="99"/>
      <x:c r="M3" s="99"/>
      <x:c r="N3" s="99"/>
      <x:c r="O3" s="99" t="str">
        <x:v>V</x:v>
      </x:c>
      <x:c r="P3" s="59" t="n">
        <x:f>COUNTIF(F3:O3,"V")</x:f>
        <x:v>1</x:v>
      </x:c>
      <x:c r="Q3" s="60" t="str"/>
    </x:row>
    <x:row r="4">
      <x:c r="A4" s="58" t="n">
        <x:v>2</x:v>
      </x:c>
      <x:c r="B4" s="59" t="str">
        <x:v>MKU-102</x:v>
      </x:c>
      <x:c r="C4" s="73" t="str">
        <x:v>Pancasila</x:v>
      </x:c>
      <x:c r="D4" s="59" t="n">
        <x:v>1</x:v>
      </x:c>
      <x:c r="E4" s="59" t="n">
        <x:v>2</x:v>
      </x:c>
      <x:c r="F4" s="99"/>
      <x:c r="G4" s="99"/>
      <x:c r="H4" s="99"/>
      <x:c r="I4" s="99"/>
      <x:c r="J4" s="99"/>
      <x:c r="K4" s="99"/>
      <x:c r="L4" s="99" t="str">
        <x:v>V</x:v>
      </x:c>
      <x:c r="M4" s="99"/>
      <x:c r="N4" s="99"/>
      <x:c r="O4" s="99" t="str">
        <x:v>V</x:v>
      </x:c>
      <x:c r="P4" s="59" t="n">
        <x:f>COUNTIF(F4:O4,"V")</x:f>
        <x:v>2</x:v>
      </x:c>
      <x:c r="Q4" s="60" t="str"/>
    </x:row>
    <x:row r="5">
      <x:c r="A5" s="58" t="n">
        <x:v>3</x:v>
      </x:c>
      <x:c r="B5" s="59" t="str">
        <x:v>MKU-103</x:v>
      </x:c>
      <x:c r="C5" s="73" t="str">
        <x:v>Bahasa Indonesia</x:v>
      </x:c>
      <x:c r="D5" s="59" t="n">
        <x:v>1</x:v>
      </x:c>
      <x:c r="E5" s="59" t="n">
        <x:v>2</x:v>
      </x:c>
      <x:c r="F5" s="99"/>
      <x:c r="G5" s="99"/>
      <x:c r="H5" s="99"/>
      <x:c r="I5" s="99"/>
      <x:c r="J5" s="99"/>
      <x:c r="K5" s="99"/>
      <x:c r="L5" s="99"/>
      <x:c r="M5" s="99"/>
      <x:c r="N5" s="99" t="str">
        <x:v>V</x:v>
      </x:c>
      <x:c r="O5" s="99" t="str">
        <x:v>V</x:v>
      </x:c>
      <x:c r="P5" s="59" t="n">
        <x:f>COUNTIF(F5:O5,"V")</x:f>
        <x:v>2</x:v>
      </x:c>
      <x:c r="Q5" s="60" t="str"/>
    </x:row>
    <x:row r="6">
      <x:c r="A6" s="58" t="n">
        <x:v>4</x:v>
      </x:c>
      <x:c r="B6" s="59" t="str">
        <x:v>STI-101</x:v>
      </x:c>
      <x:c r="C6" s="73" t="str">
        <x:v>Pengantar Sistem dan Teknologi Informasi</x:v>
      </x:c>
      <x:c r="D6" s="59" t="n">
        <x:v>1</x:v>
      </x:c>
      <x:c r="E6" s="59" t="n">
        <x:v>3</x:v>
      </x:c>
      <x:c r="F6" s="99" t="str">
        <x:v>V</x:v>
      </x:c>
      <x:c r="G6" s="99"/>
      <x:c r="H6" s="99"/>
      <x:c r="I6" s="99"/>
      <x:c r="J6" s="99"/>
      <x:c r="K6" s="99"/>
      <x:c r="L6" s="99" t="str">
        <x:v>V</x:v>
      </x:c>
      <x:c r="M6" s="99"/>
      <x:c r="N6" s="99"/>
      <x:c r="O6" s="99"/>
      <x:c r="P6" s="59" t="n">
        <x:f>COUNTIF(F6:O6,"V")</x:f>
        <x:v>2</x:v>
      </x:c>
      <x:c r="Q6" s="60" t="str"/>
    </x:row>
    <x:row r="7">
      <x:c r="A7" s="58" t="n">
        <x:v>5</x:v>
      </x:c>
      <x:c r="B7" s="59" t="str">
        <x:v>STI-102</x:v>
      </x:c>
      <x:c r="C7" s="73" t="str">
        <x:v>Algoritma dan Pemrograman (+P)</x:v>
      </x:c>
      <x:c r="D7" s="59" t="n">
        <x:v>1</x:v>
      </x:c>
      <x:c r="E7" s="59" t="n">
        <x:v>3</x:v>
      </x:c>
      <x:c r="F7" s="99"/>
      <x:c r="G7" s="99" t="str">
        <x:v>V</x:v>
      </x:c>
      <x:c r="H7" s="99"/>
      <x:c r="I7" s="99"/>
      <x:c r="J7" s="99"/>
      <x:c r="K7" s="99"/>
      <x:c r="L7" s="99"/>
      <x:c r="M7" s="99"/>
      <x:c r="N7" s="99" t="str">
        <x:v>V</x:v>
      </x:c>
      <x:c r="O7" s="99"/>
      <x:c r="P7" s="59" t="n">
        <x:f>COUNTIF(F7:O7,"V")</x:f>
        <x:v>2</x:v>
      </x:c>
      <x:c r="Q7" s="60" t="str"/>
    </x:row>
    <x:row r="8">
      <x:c r="A8" s="58" t="n">
        <x:v>6</x:v>
      </x:c>
      <x:c r="B8" s="59" t="str">
        <x:v>STI-103</x:v>
      </x:c>
      <x:c r="C8" s="73" t="str">
        <x:v>Logika Informatika</x:v>
      </x:c>
      <x:c r="D8" s="59" t="n">
        <x:v>1</x:v>
      </x:c>
      <x:c r="E8" s="59" t="n">
        <x:v>2</x:v>
      </x:c>
      <x:c r="F8" s="99"/>
      <x:c r="G8" s="99"/>
      <x:c r="H8" s="99"/>
      <x:c r="I8" s="99"/>
      <x:c r="J8" s="99"/>
      <x:c r="K8" s="99"/>
      <x:c r="L8" s="99"/>
      <x:c r="M8" s="99"/>
      <x:c r="N8" s="99" t="str">
        <x:v>V</x:v>
      </x:c>
      <x:c r="O8" s="99"/>
      <x:c r="P8" s="59" t="n">
        <x:f>COUNTIF(F8:O8,"V")</x:f>
        <x:v>1</x:v>
      </x:c>
      <x:c r="Q8" s="60" t="str"/>
    </x:row>
    <x:row r="9">
      <x:c r="A9" s="58" t="n">
        <x:v>7</x:v>
      </x:c>
      <x:c r="B9" s="59" t="str">
        <x:v>STI-104</x:v>
      </x:c>
      <x:c r="C9" s="73" t="str">
        <x:v>Kalkulus</x:v>
      </x:c>
      <x:c r="D9" s="59" t="n">
        <x:v>1</x:v>
      </x:c>
      <x:c r="E9" s="59" t="n">
        <x:v>4</x:v>
      </x:c>
      <x:c r="F9" s="99"/>
      <x:c r="G9" s="99"/>
      <x:c r="H9" s="99"/>
      <x:c r="I9" s="99"/>
      <x:c r="J9" s="99"/>
      <x:c r="K9" s="99"/>
      <x:c r="L9" s="99"/>
      <x:c r="M9" s="99"/>
      <x:c r="N9" s="99" t="str">
        <x:v>V</x:v>
      </x:c>
      <x:c r="O9" s="99"/>
      <x:c r="P9" s="59" t="n">
        <x:f>COUNTIF(F9:O9,"V")</x:f>
        <x:v>1</x:v>
      </x:c>
      <x:c r="Q9" s="60" t="str"/>
    </x:row>
    <x:row r="10">
      <x:c r="A10" s="58" t="n">
        <x:v>8</x:v>
      </x:c>
      <x:c r="B10" s="59" t="str">
        <x:v>MFT-201</x:v>
      </x:c>
      <x:c r="C10" s="73" t="str">
        <x:v>Bahasa Inggris</x:v>
      </x:c>
      <x:c r="D10" s="59" t="n">
        <x:v>2</x:v>
      </x:c>
      <x:c r="E10" s="59" t="n">
        <x:v>2</x:v>
      </x:c>
      <x:c r="F10" s="99"/>
      <x:c r="G10" s="99"/>
      <x:c r="H10" s="99"/>
      <x:c r="I10" s="99"/>
      <x:c r="J10" s="99"/>
      <x:c r="K10" s="99"/>
      <x:c r="L10" s="99"/>
      <x:c r="M10" s="99"/>
      <x:c r="N10" s="99"/>
      <x:c r="O10" s="99" t="str">
        <x:v>V</x:v>
      </x:c>
      <x:c r="P10" s="59" t="n">
        <x:f>COUNTIF(F10:O10,"V")</x:f>
        <x:v>1</x:v>
      </x:c>
      <x:c r="Q10" s="60" t="str"/>
    </x:row>
    <x:row r="11">
      <x:c r="A11" s="58" t="n">
        <x:v>9</x:v>
      </x:c>
      <x:c r="B11" s="59" t="str">
        <x:v>MKU-204</x:v>
      </x:c>
      <x:c r="C11" s="73" t="str">
        <x:v>Kewirausahaan I</x:v>
      </x:c>
      <x:c r="D11" s="59" t="n">
        <x:v>2</x:v>
      </x:c>
      <x:c r="E11" s="59" t="n">
        <x:v>2</x:v>
      </x:c>
      <x:c r="F11" s="99"/>
      <x:c r="G11" s="99"/>
      <x:c r="H11" s="99"/>
      <x:c r="I11" s="99"/>
      <x:c r="J11" s="99"/>
      <x:c r="K11" s="99"/>
      <x:c r="L11" s="99"/>
      <x:c r="M11" s="99" t="str">
        <x:v>V</x:v>
      </x:c>
      <x:c r="N11" s="99"/>
      <x:c r="O11" s="99" t="str">
        <x:v>V</x:v>
      </x:c>
      <x:c r="P11" s="59" t="n">
        <x:f>COUNTIF(F11:O11,"V")</x:f>
        <x:v>2</x:v>
      </x:c>
      <x:c r="Q11" s="60" t="str"/>
    </x:row>
    <x:row r="12">
      <x:c r="A12" s="58" t="n">
        <x:v>10</x:v>
      </x:c>
      <x:c r="B12" s="59" t="str">
        <x:v>STI-205</x:v>
      </x:c>
      <x:c r="C12" s="73" t="str">
        <x:v>Matematika Diskrit</x:v>
      </x:c>
      <x:c r="D12" s="59" t="n">
        <x:v>2</x:v>
      </x:c>
      <x:c r="E12" s="59" t="n">
        <x:v>2</x:v>
      </x:c>
      <x:c r="F12" s="99"/>
      <x:c r="G12" s="99"/>
      <x:c r="H12" s="99"/>
      <x:c r="I12" s="99"/>
      <x:c r="J12" s="99"/>
      <x:c r="K12" s="99"/>
      <x:c r="L12" s="99"/>
      <x:c r="M12" s="99"/>
      <x:c r="N12" s="99" t="str">
        <x:v>V</x:v>
      </x:c>
      <x:c r="O12" s="99"/>
      <x:c r="P12" s="59" t="n">
        <x:f>COUNTIF(F12:O12,"V")</x:f>
        <x:v>1</x:v>
      </x:c>
      <x:c r="Q12" s="60" t="str"/>
    </x:row>
    <x:row r="13">
      <x:c r="A13" s="58" t="n">
        <x:v>11</x:v>
      </x:c>
      <x:c r="B13" s="59" t="str">
        <x:v>STI-206</x:v>
      </x:c>
      <x:c r="C13" s="73" t="str">
        <x:v>Basis Data (+P)</x:v>
      </x:c>
      <x:c r="D13" s="59" t="n">
        <x:v>2</x:v>
      </x:c>
      <x:c r="E13" s="59" t="n">
        <x:v>3</x:v>
      </x:c>
      <x:c r="F13" s="99"/>
      <x:c r="G13" s="99" t="str">
        <x:v>V</x:v>
      </x:c>
      <x:c r="H13" s="99"/>
      <x:c r="I13" s="99"/>
      <x:c r="J13" s="99"/>
      <x:c r="K13" s="99" t="str">
        <x:v>V</x:v>
      </x:c>
      <x:c r="L13" s="99"/>
      <x:c r="M13" s="99"/>
      <x:c r="N13" s="99"/>
      <x:c r="O13" s="99"/>
      <x:c r="P13" s="59" t="n">
        <x:f>COUNTIF(F13:O13,"V")</x:f>
        <x:v>2</x:v>
      </x:c>
      <x:c r="Q13" s="60" t="str"/>
    </x:row>
    <x:row r="14">
      <x:c r="A14" s="58" t="n">
        <x:v>12</x:v>
      </x:c>
      <x:c r="B14" s="59" t="str">
        <x:v>STI-207</x:v>
      </x:c>
      <x:c r="C14" s="73" t="str">
        <x:v>Struktur Data</x:v>
      </x:c>
      <x:c r="D14" s="59" t="n">
        <x:v>2</x:v>
      </x:c>
      <x:c r="E14" s="59" t="n">
        <x:v>3</x:v>
      </x:c>
      <x:c r="F14" s="99"/>
      <x:c r="G14" s="99" t="str">
        <x:v>V</x:v>
      </x:c>
      <x:c r="H14" s="99"/>
      <x:c r="I14" s="99"/>
      <x:c r="J14" s="99"/>
      <x:c r="K14" s="99"/>
      <x:c r="L14" s="99"/>
      <x:c r="M14" s="99"/>
      <x:c r="N14" s="99" t="str">
        <x:v>V</x:v>
      </x:c>
      <x:c r="O14" s="99"/>
      <x:c r="P14" s="59" t="n">
        <x:f>COUNTIF(F14:O14,"V")</x:f>
        <x:v>2</x:v>
      </x:c>
      <x:c r="Q14" s="60" t="str"/>
    </x:row>
    <x:row r="15">
      <x:c r="A15" s="58" t="n">
        <x:v>13</x:v>
      </x:c>
      <x:c r="B15" s="59" t="str">
        <x:v>STI-208</x:v>
      </x:c>
      <x:c r="C15" s="73" t="str">
        <x:v>Visualisasi Data dan Dashboard Interaktif (+P)</x:v>
      </x:c>
      <x:c r="D15" s="59" t="n">
        <x:v>2</x:v>
      </x:c>
      <x:c r="E15" s="59" t="n">
        <x:v>2</x:v>
      </x:c>
      <x:c r="F15" s="99"/>
      <x:c r="G15" s="99"/>
      <x:c r="H15" s="99" t="str">
        <x:v>V</x:v>
      </x:c>
      <x:c r="I15" s="99" t="str">
        <x:v>V</x:v>
      </x:c>
      <x:c r="J15" s="99"/>
      <x:c r="K15" s="99" t="str">
        <x:v>V</x:v>
      </x:c>
      <x:c r="L15" s="99"/>
      <x:c r="M15" s="99"/>
      <x:c r="N15" s="99"/>
      <x:c r="O15" s="99"/>
      <x:c r="P15" s="59" t="n">
        <x:f>COUNTIF(F15:O15,"V")</x:f>
        <x:v>3</x:v>
      </x:c>
      <x:c r="Q15" s="60" t="str"/>
    </x:row>
    <x:row r="16">
      <x:c r="A16" s="58" t="n">
        <x:v>14</x:v>
      </x:c>
      <x:c r="B16" s="59" t="str">
        <x:v>STI-209</x:v>
      </x:c>
      <x:c r="C16" s="73" t="str">
        <x:v>Aljabar Linear</x:v>
      </x:c>
      <x:c r="D16" s="59" t="n">
        <x:v>2</x:v>
      </x:c>
      <x:c r="E16" s="59" t="n">
        <x:v>4</x:v>
      </x:c>
      <x:c r="F16" s="99"/>
      <x:c r="G16" s="99"/>
      <x:c r="H16" s="99"/>
      <x:c r="I16" s="99"/>
      <x:c r="J16" s="99"/>
      <x:c r="K16" s="99"/>
      <x:c r="L16" s="99"/>
      <x:c r="M16" s="99"/>
      <x:c r="N16" s="99" t="str">
        <x:v>V</x:v>
      </x:c>
      <x:c r="O16" s="99"/>
      <x:c r="P16" s="59" t="n">
        <x:f>COUNTIF(F16:O16,"V")</x:f>
        <x:v>1</x:v>
      </x:c>
      <x:c r="Q16" s="60" t="str"/>
    </x:row>
    <x:row r="17">
      <x:c r="A17" s="58" t="n">
        <x:v>15</x:v>
      </x:c>
      <x:c r="B17" s="59" t="str">
        <x:v>STI-310</x:v>
      </x:c>
      <x:c r="C17" s="73" t="str">
        <x:v>Analisis dan Perancangan Sistem Informasi</x:v>
      </x:c>
      <x:c r="D17" s="59" t="n">
        <x:v>3</x:v>
      </x:c>
      <x:c r="E17" s="59" t="n">
        <x:v>3</x:v>
      </x:c>
      <x:c r="F17" s="99" t="str">
        <x:v>V</x:v>
      </x:c>
      <x:c r="G17" s="99" t="str">
        <x:v>V</x:v>
      </x:c>
      <x:c r="H17" s="99"/>
      <x:c r="I17" s="99"/>
      <x:c r="J17" s="99"/>
      <x:c r="K17" s="99"/>
      <x:c r="L17" s="99"/>
      <x:c r="M17" s="99"/>
      <x:c r="N17" s="99"/>
      <x:c r="O17" s="99" t="str">
        <x:v>V</x:v>
      </x:c>
      <x:c r="P17" s="59" t="n">
        <x:f>COUNTIF(F17:O17,"V")</x:f>
        <x:v>3</x:v>
      </x:c>
      <x:c r="Q17" s="60" t="str"/>
    </x:row>
    <x:row r="18">
      <x:c r="A18" s="58" t="n">
        <x:v>16</x:v>
      </x:c>
      <x:c r="B18" s="59" t="str">
        <x:v>STI-311</x:v>
      </x:c>
      <x:c r="C18" s="73" t="str">
        <x:v>Sistem Operasi</x:v>
      </x:c>
      <x:c r="D18" s="59" t="n">
        <x:v>3</x:v>
      </x:c>
      <x:c r="E18" s="59" t="n">
        <x:v>3</x:v>
      </x:c>
      <x:c r="F18" s="99"/>
      <x:c r="G18" s="99" t="str">
        <x:v>V</x:v>
      </x:c>
      <x:c r="H18" s="99"/>
      <x:c r="I18" s="99"/>
      <x:c r="J18" s="99" t="str">
        <x:v>V</x:v>
      </x:c>
      <x:c r="K18" s="99"/>
      <x:c r="L18" s="99"/>
      <x:c r="M18" s="99"/>
      <x:c r="N18" s="99"/>
      <x:c r="O18" s="99"/>
      <x:c r="P18" s="59" t="n">
        <x:f>COUNTIF(F18:O18,"V")</x:f>
        <x:v>2</x:v>
      </x:c>
      <x:c r="Q18" s="60" t="str"/>
    </x:row>
    <x:row r="19">
      <x:c r="A19" s="58" t="n">
        <x:v>17</x:v>
      </x:c>
      <x:c r="B19" s="59" t="str">
        <x:v>STI-312</x:v>
      </x:c>
      <x:c r="C19" s="73" t="str">
        <x:v>Pemrograman Web (+P)</x:v>
      </x:c>
      <x:c r="D19" s="59" t="n">
        <x:v>3</x:v>
      </x:c>
      <x:c r="E19" s="59" t="n">
        <x:v>3</x:v>
      </x:c>
      <x:c r="F19" s="99"/>
      <x:c r="G19" s="99" t="str">
        <x:v>V</x:v>
      </x:c>
      <x:c r="H19" s="99"/>
      <x:c r="I19" s="99" t="str">
        <x:v>V</x:v>
      </x:c>
      <x:c r="J19" s="99"/>
      <x:c r="K19" s="99"/>
      <x:c r="L19" s="99"/>
      <x:c r="M19" s="99"/>
      <x:c r="N19" s="99"/>
      <x:c r="O19" s="99"/>
      <x:c r="P19" s="59" t="n">
        <x:f>COUNTIF(F19:O19,"V")</x:f>
        <x:v>2</x:v>
      </x:c>
      <x:c r="Q19" s="60" t="str"/>
    </x:row>
    <x:row r="20">
      <x:c r="A20" s="58" t="n">
        <x:v>18</x:v>
      </x:c>
      <x:c r="B20" s="59" t="str">
        <x:v>STI-313</x:v>
      </x:c>
      <x:c r="C20" s="73" t="str">
        <x:v>Keamanan Informasi Dasar</x:v>
      </x:c>
      <x:c r="D20" s="59" t="n">
        <x:v>3</x:v>
      </x:c>
      <x:c r="E20" s="59" t="n">
        <x:v>2</x:v>
      </x:c>
      <x:c r="F20" s="99"/>
      <x:c r="G20" s="99"/>
      <x:c r="H20" s="99"/>
      <x:c r="I20" s="99"/>
      <x:c r="J20" s="99" t="str">
        <x:v>V</x:v>
      </x:c>
      <x:c r="K20" s="99"/>
      <x:c r="L20" s="99" t="str">
        <x:v>V</x:v>
      </x:c>
      <x:c r="M20" s="99"/>
      <x:c r="N20" s="99"/>
      <x:c r="O20" s="99"/>
      <x:c r="P20" s="59" t="n">
        <x:f>COUNTIF(F20:O20,"V")</x:f>
        <x:v>2</x:v>
      </x:c>
      <x:c r="Q20" s="60" t="str"/>
    </x:row>
    <x:row r="21">
      <x:c r="A21" s="58" t="n">
        <x:v>19</x:v>
      </x:c>
      <x:c r="B21" s="59" t="str">
        <x:v>STI-314</x:v>
      </x:c>
      <x:c r="C21" s="73" t="str">
        <x:v>Interaksi Manusia dan Komputer</x:v>
      </x:c>
      <x:c r="D21" s="59" t="n">
        <x:v>3</x:v>
      </x:c>
      <x:c r="E21" s="59" t="n">
        <x:v>3</x:v>
      </x:c>
      <x:c r="F21" s="99"/>
      <x:c r="G21" s="99"/>
      <x:c r="H21" s="99"/>
      <x:c r="I21" s="99" t="str">
        <x:v>V</x:v>
      </x:c>
      <x:c r="J21" s="99"/>
      <x:c r="K21" s="99"/>
      <x:c r="L21" s="99"/>
      <x:c r="M21" s="99"/>
      <x:c r="N21" s="99"/>
      <x:c r="O21" s="99" t="str">
        <x:v>V</x:v>
      </x:c>
      <x:c r="P21" s="59" t="n">
        <x:f>COUNTIF(F21:O21,"V")</x:f>
        <x:v>2</x:v>
      </x:c>
      <x:c r="Q21" s="60" t="str"/>
    </x:row>
    <x:row r="22">
      <x:c r="A22" s="58" t="n">
        <x:v>20</x:v>
      </x:c>
      <x:c r="B22" s="59" t="str">
        <x:v>STI-315</x:v>
      </x:c>
      <x:c r="C22" s="73" t="str">
        <x:v>Etika dan Hukum TI</x:v>
      </x:c>
      <x:c r="D22" s="59" t="n">
        <x:v>3</x:v>
      </x:c>
      <x:c r="E22" s="59" t="n">
        <x:v>2</x:v>
      </x:c>
      <x:c r="F22" s="99"/>
      <x:c r="G22" s="99"/>
      <x:c r="H22" s="99"/>
      <x:c r="I22" s="99"/>
      <x:c r="J22" s="99"/>
      <x:c r="K22" s="99"/>
      <x:c r="L22" s="99" t="str">
        <x:v>V</x:v>
      </x:c>
      <x:c r="M22" s="99"/>
      <x:c r="N22" s="99"/>
      <x:c r="O22" s="99" t="str">
        <x:v>V</x:v>
      </x:c>
      <x:c r="P22" s="59" t="n">
        <x:f>COUNTIF(F22:O22,"V")</x:f>
        <x:v>2</x:v>
      </x:c>
      <x:c r="Q22" s="60" t="str"/>
    </x:row>
    <x:row r="23">
      <x:c r="A23" s="58" t="n">
        <x:v>21</x:v>
      </x:c>
      <x:c r="B23" s="59" t="str">
        <x:v>STI-316</x:v>
      </x:c>
      <x:c r="C23" s="73" t="str">
        <x:v>Multimedia Interaktif</x:v>
      </x:c>
      <x:c r="D23" s="59" t="n">
        <x:v>3</x:v>
      </x:c>
      <x:c r="E23" s="59" t="n">
        <x:v>2</x:v>
      </x:c>
      <x:c r="F23" s="99"/>
      <x:c r="G23" s="99"/>
      <x:c r="H23" s="99"/>
      <x:c r="I23" s="99" t="str">
        <x:v>V</x:v>
      </x:c>
      <x:c r="J23" s="99" t="str">
        <x:v>V</x:v>
      </x:c>
      <x:c r="K23" s="99"/>
      <x:c r="L23" s="99"/>
      <x:c r="M23" s="99"/>
      <x:c r="N23" s="99"/>
      <x:c r="O23" s="99"/>
      <x:c r="P23" s="59" t="n">
        <x:f>COUNTIF(F23:O23,"V")</x:f>
        <x:v>2</x:v>
      </x:c>
      <x:c r="Q23" s="60" t="str"/>
    </x:row>
    <x:row r="24">
      <x:c r="A24" s="58" t="n">
        <x:v>22</x:v>
      </x:c>
      <x:c r="B24" s="59" t="str">
        <x:v>STI-317</x:v>
      </x:c>
      <x:c r="C24" s="73" t="str">
        <x:v>Metode Komputasi dan Numerik</x:v>
      </x:c>
      <x:c r="D24" s="59" t="n">
        <x:v>3</x:v>
      </x:c>
      <x:c r="E24" s="59" t="n">
        <x:v>2</x:v>
      </x:c>
      <x:c r="F24" s="99"/>
      <x:c r="G24" s="99"/>
      <x:c r="H24" s="99" t="str">
        <x:v>V</x:v>
      </x:c>
      <x:c r="I24" s="99"/>
      <x:c r="J24" s="99"/>
      <x:c r="K24" s="99"/>
      <x:c r="L24" s="99"/>
      <x:c r="M24" s="99"/>
      <x:c r="N24" s="99" t="str">
        <x:v>V</x:v>
      </x:c>
      <x:c r="O24" s="99"/>
      <x:c r="P24" s="59" t="n">
        <x:f>COUNTIF(F24:O24,"V")</x:f>
        <x:v>2</x:v>
      </x:c>
      <x:c r="Q24" s="60" t="str"/>
    </x:row>
    <x:row r="25">
      <x:c r="A25" s="58" t="n">
        <x:v>23</x:v>
      </x:c>
      <x:c r="B25" s="59" t="str">
        <x:v>MKU-405</x:v>
      </x:c>
      <x:c r="C25" s="73" t="str">
        <x:v>Kewarganegaraan</x:v>
      </x:c>
      <x:c r="D25" s="59" t="n">
        <x:v>4</x:v>
      </x:c>
      <x:c r="E25" s="59" t="n">
        <x:v>2</x:v>
      </x:c>
      <x:c r="F25" s="99"/>
      <x:c r="G25" s="99"/>
      <x:c r="H25" s="99"/>
      <x:c r="I25" s="99"/>
      <x:c r="J25" s="99"/>
      <x:c r="K25" s="99"/>
      <x:c r="L25" s="99" t="str">
        <x:v>V</x:v>
      </x:c>
      <x:c r="M25" s="99"/>
      <x:c r="N25" s="99"/>
      <x:c r="O25" s="99" t="str">
        <x:v>V</x:v>
      </x:c>
      <x:c r="P25" s="59" t="n">
        <x:f>COUNTIF(F25:O25,"V")</x:f>
        <x:v>2</x:v>
      </x:c>
      <x:c r="Q25" s="60" t="str"/>
    </x:row>
    <x:row r="26">
      <x:c r="A26" s="58" t="n">
        <x:v>24</x:v>
      </x:c>
      <x:c r="B26" s="59" t="str">
        <x:v>MKU-406</x:v>
      </x:c>
      <x:c r="C26" s="73" t="str">
        <x:v>Agama II</x:v>
      </x:c>
      <x:c r="D26" s="59" t="n">
        <x:v>4</x:v>
      </x:c>
      <x:c r="E26" s="59" t="n">
        <x:v>0</x:v>
      </x:c>
      <x:c r="F26" s="99"/>
      <x:c r="G26" s="99"/>
      <x:c r="H26" s="99"/>
      <x:c r="I26" s="99"/>
      <x:c r="J26" s="99"/>
      <x:c r="K26" s="99"/>
      <x:c r="L26" s="99"/>
      <x:c r="M26" s="99"/>
      <x:c r="N26" s="99"/>
      <x:c r="O26" s="99" t="str">
        <x:v>V</x:v>
      </x:c>
      <x:c r="P26" s="59" t="n">
        <x:f>COUNTIF(F26:O26,"V")</x:f>
        <x:v>1</x:v>
      </x:c>
      <x:c r="Q26" s="60" t="str"/>
    </x:row>
    <x:row r="27">
      <x:c r="A27" s="58" t="n">
        <x:v>25</x:v>
      </x:c>
      <x:c r="B27" s="59" t="str">
        <x:v>STI-418</x:v>
      </x:c>
      <x:c r="C27" s="73" t="str">
        <x:v>Sistem Cerdas</x:v>
      </x:c>
      <x:c r="D27" s="59" t="n">
        <x:v>4</x:v>
      </x:c>
      <x:c r="E27" s="59" t="n">
        <x:v>2</x:v>
      </x:c>
      <x:c r="F27" s="99"/>
      <x:c r="G27" s="99"/>
      <x:c r="H27" s="99" t="str">
        <x:v>V</x:v>
      </x:c>
      <x:c r="I27" s="99"/>
      <x:c r="J27" s="99"/>
      <x:c r="K27" s="99"/>
      <x:c r="L27" s="99"/>
      <x:c r="M27" s="99"/>
      <x:c r="N27" s="99" t="str">
        <x:v>V</x:v>
      </x:c>
      <x:c r="O27" s="99"/>
      <x:c r="P27" s="59" t="n">
        <x:f>COUNTIF(F27:O27,"V")</x:f>
        <x:v>2</x:v>
      </x:c>
      <x:c r="Q27" s="60" t="str"/>
    </x:row>
    <x:row r="28">
      <x:c r="A28" s="58" t="n">
        <x:v>26</x:v>
      </x:c>
      <x:c r="B28" s="59" t="str">
        <x:v>STI-419</x:v>
      </x:c>
      <x:c r="C28" s="73" t="str">
        <x:v>Mobile Application Development (+P)</x:v>
      </x:c>
      <x:c r="D28" s="59" t="n">
        <x:v>4</x:v>
      </x:c>
      <x:c r="E28" s="59" t="n">
        <x:v>3</x:v>
      </x:c>
      <x:c r="F28" s="99"/>
      <x:c r="G28" s="99" t="str">
        <x:v>V</x:v>
      </x:c>
      <x:c r="H28" s="99"/>
      <x:c r="I28" s="99" t="str">
        <x:v>V</x:v>
      </x:c>
      <x:c r="J28" s="99"/>
      <x:c r="K28" s="99"/>
      <x:c r="L28" s="99"/>
      <x:c r="M28" s="99"/>
      <x:c r="N28" s="99"/>
      <x:c r="O28" s="99"/>
      <x:c r="P28" s="59" t="n">
        <x:f>COUNTIF(F28:O28,"V")</x:f>
        <x:v>2</x:v>
      </x:c>
      <x:c r="Q28" s="60" t="str"/>
    </x:row>
    <x:row r="29">
      <x:c r="A29" s="58" t="n">
        <x:v>27</x:v>
      </x:c>
      <x:c r="B29" s="59" t="str">
        <x:v>STI-420</x:v>
      </x:c>
      <x:c r="C29" s="73" t="str">
        <x:v>Semantic Web dan Ontologi</x:v>
      </x:c>
      <x:c r="D29" s="59" t="n">
        <x:v>4</x:v>
      </x:c>
      <x:c r="E29" s="59" t="n">
        <x:v>2</x:v>
      </x:c>
      <x:c r="F29" s="99"/>
      <x:c r="G29" s="99"/>
      <x:c r="H29" s="99"/>
      <x:c r="I29" s="99"/>
      <x:c r="J29" s="99"/>
      <x:c r="K29" s="99" t="str">
        <x:v>V</x:v>
      </x:c>
      <x:c r="L29" s="99"/>
      <x:c r="M29" s="99"/>
      <x:c r="N29" s="99"/>
      <x:c r="O29" s="99"/>
      <x:c r="P29" s="59" t="n">
        <x:f>COUNTIF(F29:O29,"V")</x:f>
        <x:v>1</x:v>
      </x:c>
      <x:c r="Q29" s="60" t="str"/>
    </x:row>
    <x:row r="30">
      <x:c r="A30" s="58" t="n">
        <x:v>28</x:v>
      </x:c>
      <x:c r="B30" s="59" t="str">
        <x:v>STI-421</x:v>
      </x:c>
      <x:c r="C30" s="73" t="str">
        <x:v>Manajemen Proyek TI</x:v>
      </x:c>
      <x:c r="D30" s="59" t="n">
        <x:v>4</x:v>
      </x:c>
      <x:c r="E30" s="59" t="n">
        <x:v>2</x:v>
      </x:c>
      <x:c r="F30" s="99"/>
      <x:c r="G30" s="99"/>
      <x:c r="H30" s="99"/>
      <x:c r="I30" s="99"/>
      <x:c r="J30" s="99"/>
      <x:c r="K30" s="99"/>
      <x:c r="L30" s="99"/>
      <x:c r="M30" s="99" t="str">
        <x:v>V</x:v>
      </x:c>
      <x:c r="N30" s="99"/>
      <x:c r="O30" s="99" t="str">
        <x:v>V</x:v>
      </x:c>
      <x:c r="P30" s="59" t="n">
        <x:f>COUNTIF(F30:O30,"V")</x:f>
        <x:v>2</x:v>
      </x:c>
      <x:c r="Q30" s="60" t="str"/>
    </x:row>
    <x:row r="31">
      <x:c r="A31" s="58" t="n">
        <x:v>29</x:v>
      </x:c>
      <x:c r="B31" s="59" t="str">
        <x:v>STI-422</x:v>
      </x:c>
      <x:c r="C31" s="73" t="str">
        <x:v>E-Commerce dan Digital Business</x:v>
      </x:c>
      <x:c r="D31" s="59" t="n">
        <x:v>4</x:v>
      </x:c>
      <x:c r="E31" s="59" t="n">
        <x:v>3</x:v>
      </x:c>
      <x:c r="F31" s="99"/>
      <x:c r="G31" s="99"/>
      <x:c r="H31" s="99"/>
      <x:c r="I31" s="99"/>
      <x:c r="J31" s="99"/>
      <x:c r="K31" s="99"/>
      <x:c r="L31" s="99" t="str">
        <x:v>V</x:v>
      </x:c>
      <x:c r="M31" s="99" t="str">
        <x:v>V</x:v>
      </x:c>
      <x:c r="N31" s="99"/>
      <x:c r="O31" s="99"/>
      <x:c r="P31" s="59" t="n">
        <x:f>COUNTIF(F31:O31,"V")</x:f>
        <x:v>2</x:v>
      </x:c>
      <x:c r="Q31" s="60" t="str"/>
    </x:row>
    <x:row r="32">
      <x:c r="A32" s="58" t="n">
        <x:v>30</x:v>
      </x:c>
      <x:c r="B32" s="59" t="str">
        <x:v>STI-423</x:v>
      </x:c>
      <x:c r="C32" s="73" t="str">
        <x:v>Game Design dan Gamifikasi Sosial (+P)</x:v>
      </x:c>
      <x:c r="D32" s="59" t="n">
        <x:v>4</x:v>
      </x:c>
      <x:c r="E32" s="59" t="n">
        <x:v>3</x:v>
      </x:c>
      <x:c r="F32" s="99"/>
      <x:c r="G32" s="99"/>
      <x:c r="H32" s="99"/>
      <x:c r="I32" s="99" t="str">
        <x:v>V</x:v>
      </x:c>
      <x:c r="J32" s="99"/>
      <x:c r="K32" s="99"/>
      <x:c r="L32" s="99"/>
      <x:c r="M32" s="99" t="str">
        <x:v>V</x:v>
      </x:c>
      <x:c r="N32" s="99"/>
      <x:c r="O32" s="99"/>
      <x:c r="P32" s="59" t="n">
        <x:f>COUNTIF(F32:O32,"V")</x:f>
        <x:v>2</x:v>
      </x:c>
      <x:c r="Q32" s="60" t="str"/>
    </x:row>
    <x:row r="33">
      <x:c r="A33" s="58" t="n">
        <x:v>31</x:v>
      </x:c>
      <x:c r="B33" s="59" t="str">
        <x:v>STI-424</x:v>
      </x:c>
      <x:c r="C33" s="73" t="str">
        <x:v>Probabilitas dan Statistika</x:v>
      </x:c>
      <x:c r="D33" s="59" t="n">
        <x:v>4</x:v>
      </x:c>
      <x:c r="E33" s="59" t="n">
        <x:v>3</x:v>
      </x:c>
      <x:c r="F33" s="99"/>
      <x:c r="G33" s="99"/>
      <x:c r="H33" s="99" t="str">
        <x:v>V</x:v>
      </x:c>
      <x:c r="I33" s="99"/>
      <x:c r="J33" s="99"/>
      <x:c r="K33" s="99"/>
      <x:c r="L33" s="99"/>
      <x:c r="M33" s="99"/>
      <x:c r="N33" s="99" t="str">
        <x:v>V</x:v>
      </x:c>
      <x:c r="O33" s="99"/>
      <x:c r="P33" s="59" t="n">
        <x:f>COUNTIF(F33:O33,"V")</x:f>
        <x:v>2</x:v>
      </x:c>
      <x:c r="Q33" s="60" t="str"/>
    </x:row>
    <x:row r="34">
      <x:c r="A34" s="58" t="n">
        <x:v>32</x:v>
      </x:c>
      <x:c r="B34" s="59" t="str">
        <x:v>MKU-507</x:v>
      </x:c>
      <x:c r="C34" s="73" t="str">
        <x:v>Kuliah Pengabdian Kepada Masyarakat</x:v>
      </x:c>
      <x:c r="D34" s="59" t="n">
        <x:v>5</x:v>
      </x:c>
      <x:c r="E34" s="59" t="n">
        <x:v>3</x:v>
      </x:c>
      <x:c r="F34" s="99"/>
      <x:c r="G34" s="99"/>
      <x:c r="H34" s="99"/>
      <x:c r="I34" s="99"/>
      <x:c r="J34" s="99"/>
      <x:c r="K34" s="99"/>
      <x:c r="L34" s="99"/>
      <x:c r="M34" s="99" t="str">
        <x:v>V</x:v>
      </x:c>
      <x:c r="N34" s="99"/>
      <x:c r="O34" s="99" t="str">
        <x:v>V</x:v>
      </x:c>
      <x:c r="P34" s="59" t="n">
        <x:f>COUNTIF(F34:O34,"V")</x:f>
        <x:v>2</x:v>
      </x:c>
      <x:c r="Q34" s="60" t="str"/>
    </x:row>
    <x:row r="35">
      <x:c r="A35" s="58" t="n">
        <x:v>33</x:v>
      </x:c>
      <x:c r="B35" s="59" t="str">
        <x:v>MKU-508</x:v>
      </x:c>
      <x:c r="C35" s="73" t="str">
        <x:v>Kewirausahaan II</x:v>
      </x:c>
      <x:c r="D35" s="59" t="n">
        <x:v>5</x:v>
      </x:c>
      <x:c r="E35" s="59" t="n">
        <x:v>0</x:v>
      </x:c>
      <x:c r="F35" s="99"/>
      <x:c r="G35" s="99"/>
      <x:c r="H35" s="99"/>
      <x:c r="I35" s="99"/>
      <x:c r="J35" s="99"/>
      <x:c r="K35" s="99"/>
      <x:c r="L35" s="99"/>
      <x:c r="M35" s="99" t="str">
        <x:v>V</x:v>
      </x:c>
      <x:c r="N35" s="99"/>
      <x:c r="O35" s="99" t="str">
        <x:v>V</x:v>
      </x:c>
      <x:c r="P35" s="59" t="n">
        <x:f>COUNTIF(F35:O35,"V")</x:f>
        <x:v>2</x:v>
      </x:c>
      <x:c r="Q35" s="60" t="str"/>
    </x:row>
    <x:row r="36">
      <x:c r="A36" s="58" t="n">
        <x:v>34</x:v>
      </x:c>
      <x:c r="B36" s="59" t="str">
        <x:v>STI-525</x:v>
      </x:c>
      <x:c r="C36" s="73" t="str">
        <x:v>Pemrograman Lanjut dan API (+P)</x:v>
      </x:c>
      <x:c r="D36" s="59" t="n">
        <x:v>5</x:v>
      </x:c>
      <x:c r="E36" s="59" t="n">
        <x:v>3</x:v>
      </x:c>
      <x:c r="F36" s="99"/>
      <x:c r="G36" s="99" t="str">
        <x:v>V</x:v>
      </x:c>
      <x:c r="H36" s="99"/>
      <x:c r="I36" s="99"/>
      <x:c r="J36" s="99" t="str">
        <x:v>V</x:v>
      </x:c>
      <x:c r="K36" s="99"/>
      <x:c r="L36" s="99"/>
      <x:c r="M36" s="99"/>
      <x:c r="N36" s="99"/>
      <x:c r="O36" s="99"/>
      <x:c r="P36" s="59" t="n">
        <x:f>COUNTIF(F36:O36,"V")</x:f>
        <x:v>2</x:v>
      </x:c>
      <x:c r="Q36" s="60" t="str"/>
    </x:row>
    <x:row r="37">
      <x:c r="A37" s="58" t="n">
        <x:v>35</x:v>
      </x:c>
      <x:c r="B37" s="59" t="str">
        <x:v>STI-526</x:v>
      </x:c>
      <x:c r="C37" s="73" t="str">
        <x:v>Internet of Things (+P)</x:v>
      </x:c>
      <x:c r="D37" s="59" t="n">
        <x:v>5</x:v>
      </x:c>
      <x:c r="E37" s="59" t="n">
        <x:v>3</x:v>
      </x:c>
      <x:c r="F37" s="99"/>
      <x:c r="G37" s="99" t="str">
        <x:v>V</x:v>
      </x:c>
      <x:c r="H37" s="99"/>
      <x:c r="I37" s="99"/>
      <x:c r="J37" s="99" t="str">
        <x:v>V</x:v>
      </x:c>
      <x:c r="K37" s="99"/>
      <x:c r="L37" s="99"/>
      <x:c r="M37" s="99"/>
      <x:c r="N37" s="99"/>
      <x:c r="O37" s="99"/>
      <x:c r="P37" s="59" t="n">
        <x:f>COUNTIF(F37:O37,"V")</x:f>
        <x:v>2</x:v>
      </x:c>
      <x:c r="Q37" s="60" t="str"/>
    </x:row>
    <x:row r="38">
      <x:c r="A38" s="58" t="n">
        <x:v>36</x:v>
      </x:c>
      <x:c r="B38" s="59" t="str">
        <x:v>STI-527</x:v>
      </x:c>
      <x:c r="C38" s="73" t="str">
        <x:v>Sistem Informasi Berbasis Cloud</x:v>
      </x:c>
      <x:c r="D38" s="59" t="n">
        <x:v>5</x:v>
      </x:c>
      <x:c r="E38" s="59" t="n">
        <x:v>2</x:v>
      </x:c>
      <x:c r="F38" s="99"/>
      <x:c r="G38" s="99" t="str">
        <x:v>V</x:v>
      </x:c>
      <x:c r="H38" s="99"/>
      <x:c r="I38" s="99"/>
      <x:c r="J38" s="99" t="str">
        <x:v>V</x:v>
      </x:c>
      <x:c r="K38" s="99"/>
      <x:c r="L38" s="99" t="str">
        <x:v>V</x:v>
      </x:c>
      <x:c r="M38" s="99"/>
      <x:c r="N38" s="99"/>
      <x:c r="O38" s="99"/>
      <x:c r="P38" s="59" t="n">
        <x:f>COUNTIF(F38:O38,"V")</x:f>
        <x:v>3</x:v>
      </x:c>
      <x:c r="Q38" s="60" t="str"/>
    </x:row>
    <x:row r="39">
      <x:c r="A39" s="58" t="n">
        <x:v>37</x:v>
      </x:c>
      <x:c r="B39" s="59" t="str">
        <x:v>STI-528</x:v>
      </x:c>
      <x:c r="C39" s="73" t="str">
        <x:v>Text Mining dan NLP</x:v>
      </x:c>
      <x:c r="D39" s="59" t="n">
        <x:v>5</x:v>
      </x:c>
      <x:c r="E39" s="59" t="n">
        <x:v>2</x:v>
      </x:c>
      <x:c r="F39" s="99"/>
      <x:c r="G39" s="99"/>
      <x:c r="H39" s="99" t="str">
        <x:v>V</x:v>
      </x:c>
      <x:c r="I39" s="99"/>
      <x:c r="J39" s="99"/>
      <x:c r="K39" s="99" t="str">
        <x:v>V</x:v>
      </x:c>
      <x:c r="L39" s="99"/>
      <x:c r="M39" s="99"/>
      <x:c r="N39" s="99"/>
      <x:c r="O39" s="99"/>
      <x:c r="P39" s="59" t="n">
        <x:f>COUNTIF(F39:O39,"V")</x:f>
        <x:v>2</x:v>
      </x:c>
      <x:c r="Q39" s="60" t="str"/>
    </x:row>
    <x:row r="40">
      <x:c r="A40" s="58" t="n">
        <x:v>38</x:v>
      </x:c>
      <x:c r="B40" s="59" t="str">
        <x:v>STI-529</x:v>
      </x:c>
      <x:c r="C40" s="73" t="str">
        <x:v>Keamanan Jaringan dan Forensik Digital (+P)</x:v>
      </x:c>
      <x:c r="D40" s="59" t="n">
        <x:v>5</x:v>
      </x:c>
      <x:c r="E40" s="59" t="n">
        <x:v>3</x:v>
      </x:c>
      <x:c r="F40" s="99"/>
      <x:c r="G40" s="99"/>
      <x:c r="H40" s="99"/>
      <x:c r="I40" s="99"/>
      <x:c r="J40" s="99" t="str">
        <x:v>V</x:v>
      </x:c>
      <x:c r="K40" s="99"/>
      <x:c r="L40" s="99" t="str">
        <x:v>V</x:v>
      </x:c>
      <x:c r="M40" s="99"/>
      <x:c r="N40" s="99"/>
      <x:c r="O40" s="99"/>
      <x:c r="P40" s="59" t="n">
        <x:f>COUNTIF(F40:O40,"V")</x:f>
        <x:v>2</x:v>
      </x:c>
      <x:c r="Q40" s="60" t="str"/>
    </x:row>
    <x:row r="41">
      <x:c r="A41" s="58" t="n">
        <x:v>39</x:v>
      </x:c>
      <x:c r="B41" s="59" t="str">
        <x:v>STI-530</x:v>
      </x:c>
      <x:c r="C41" s="73" t="str">
        <x:v>Data Warehouse dan Business Intelligence (+P)</x:v>
      </x:c>
      <x:c r="D41" s="59" t="n">
        <x:v>5</x:v>
      </x:c>
      <x:c r="E41" s="59" t="n">
        <x:v>3</x:v>
      </x:c>
      <x:c r="F41" s="99"/>
      <x:c r="G41" s="99"/>
      <x:c r="H41" s="99" t="str">
        <x:v>V</x:v>
      </x:c>
      <x:c r="I41" s="99"/>
      <x:c r="J41" s="99"/>
      <x:c r="K41" s="99" t="str">
        <x:v>V</x:v>
      </x:c>
      <x:c r="L41" s="99" t="str">
        <x:v>V</x:v>
      </x:c>
      <x:c r="M41" s="99"/>
      <x:c r="N41" s="99"/>
      <x:c r="O41" s="99"/>
      <x:c r="P41" s="59" t="n">
        <x:f>COUNTIF(F41:O41,"V")</x:f>
        <x:v>3</x:v>
      </x:c>
      <x:c r="Q41" s="60" t="str"/>
    </x:row>
    <x:row r="42">
      <x:c r="A42" s="58" t="n">
        <x:v>40</x:v>
      </x:c>
      <x:c r="B42" s="59" t="str">
        <x:v>STI-531</x:v>
      </x:c>
      <x:c r="C42" s="73" t="str">
        <x:v>Augmented Reality dan Virtual Reality (+P)</x:v>
      </x:c>
      <x:c r="D42" s="59" t="n">
        <x:v>5</x:v>
      </x:c>
      <x:c r="E42" s="59" t="n">
        <x:v>2</x:v>
      </x:c>
      <x:c r="F42" s="99"/>
      <x:c r="G42" s="99"/>
      <x:c r="H42" s="99"/>
      <x:c r="I42" s="99" t="str">
        <x:v>V</x:v>
      </x:c>
      <x:c r="J42" s="99" t="str">
        <x:v>V</x:v>
      </x:c>
      <x:c r="K42" s="99"/>
      <x:c r="L42" s="99"/>
      <x:c r="M42" s="99"/>
      <x:c r="N42" s="99"/>
      <x:c r="O42" s="99"/>
      <x:c r="P42" s="59" t="n">
        <x:f>COUNTIF(F42:O42,"V")</x:f>
        <x:v>2</x:v>
      </x:c>
      <x:c r="Q42" s="60" t="str"/>
    </x:row>
    <x:row r="43">
      <x:c r="A43" s="58" t="n">
        <x:v>41</x:v>
      </x:c>
      <x:c r="B43" s="59" t="str">
        <x:v>STI-632</x:v>
      </x:c>
      <x:c r="C43" s="73" t="str">
        <x:v>Rekayasa Perangkat Lunak</x:v>
      </x:c>
      <x:c r="D43" s="59" t="n">
        <x:v>6</x:v>
      </x:c>
      <x:c r="E43" s="59" t="n">
        <x:v>3</x:v>
      </x:c>
      <x:c r="F43" s="99" t="str">
        <x:v>V</x:v>
      </x:c>
      <x:c r="G43" s="99" t="str">
        <x:v>V</x:v>
      </x:c>
      <x:c r="H43" s="99"/>
      <x:c r="I43" s="99"/>
      <x:c r="J43" s="99"/>
      <x:c r="K43" s="99"/>
      <x:c r="L43" s="99"/>
      <x:c r="M43" s="99" t="str">
        <x:v>V</x:v>
      </x:c>
      <x:c r="N43" s="99"/>
      <x:c r="O43" s="99" t="str">
        <x:v>V</x:v>
      </x:c>
      <x:c r="P43" s="59" t="n">
        <x:f>COUNTIF(F43:O43,"V")</x:f>
        <x:v>4</x:v>
      </x:c>
      <x:c r="Q43" s="60" t="str"/>
    </x:row>
    <x:row r="44">
      <x:c r="A44" s="58" t="n">
        <x:v>42</x:v>
      </x:c>
      <x:c r="B44" s="59" t="str">
        <x:v>STI-633</x:v>
      </x:c>
      <x:c r="C44" s="73" t="str">
        <x:v>Sistem Pendukung Keputusan</x:v>
      </x:c>
      <x:c r="D44" s="59" t="n">
        <x:v>6</x:v>
      </x:c>
      <x:c r="E44" s="59" t="n">
        <x:v>3</x:v>
      </x:c>
      <x:c r="F44" s="99" t="str">
        <x:v>V</x:v>
      </x:c>
      <x:c r="G44" s="99"/>
      <x:c r="H44" s="99" t="str">
        <x:v>V</x:v>
      </x:c>
      <x:c r="I44" s="99"/>
      <x:c r="J44" s="99"/>
      <x:c r="K44" s="99" t="str">
        <x:v>V</x:v>
      </x:c>
      <x:c r="L44" s="99"/>
      <x:c r="M44" s="99"/>
      <x:c r="N44" s="99"/>
      <x:c r="O44" s="99"/>
      <x:c r="P44" s="59" t="n">
        <x:f>COUNTIF(F44:O44,"V")</x:f>
        <x:v>3</x:v>
      </x:c>
      <x:c r="Q44" s="60" t="str"/>
    </x:row>
    <x:row r="45">
      <x:c r="A45" s="58" t="n">
        <x:v>43</x:v>
      </x:c>
      <x:c r="B45" s="59" t="str">
        <x:v>STI-634</x:v>
      </x:c>
      <x:c r="C45" s="73" t="str">
        <x:v>Pengolahan Citra Digital dan Vision (+P)</x:v>
      </x:c>
      <x:c r="D45" s="59" t="n">
        <x:v>6</x:v>
      </x:c>
      <x:c r="E45" s="59" t="n">
        <x:v>3</x:v>
      </x:c>
      <x:c r="F45" s="99"/>
      <x:c r="G45" s="99"/>
      <x:c r="H45" s="99" t="str">
        <x:v>V</x:v>
      </x:c>
      <x:c r="I45" s="99"/>
      <x:c r="J45" s="99" t="str">
        <x:v>V</x:v>
      </x:c>
      <x:c r="K45" s="99"/>
      <x:c r="L45" s="99"/>
      <x:c r="M45" s="99"/>
      <x:c r="N45" s="99"/>
      <x:c r="O45" s="99"/>
      <x:c r="P45" s="59" t="n">
        <x:f>COUNTIF(F45:O45,"V")</x:f>
        <x:v>2</x:v>
      </x:c>
      <x:c r="Q45" s="60" t="str"/>
    </x:row>
    <x:row r="46">
      <x:c r="A46" s="58" t="n">
        <x:v>44</x:v>
      </x:c>
      <x:c r="B46" s="59" t="str">
        <x:v>STI-635</x:v>
      </x:c>
      <x:c r="C46" s="73" t="str">
        <x:v>Desain dan Evaluasi Antarmuka Pengguna (UI/UX) (+P)</x:v>
      </x:c>
      <x:c r="D46" s="59" t="n">
        <x:v>6</x:v>
      </x:c>
      <x:c r="E46" s="59" t="n">
        <x:v>3</x:v>
      </x:c>
      <x:c r="F46" s="99"/>
      <x:c r="G46" s="99"/>
      <x:c r="H46" s="99"/>
      <x:c r="I46" s="99" t="str">
        <x:v>V</x:v>
      </x:c>
      <x:c r="J46" s="99"/>
      <x:c r="K46" s="99"/>
      <x:c r="L46" s="99"/>
      <x:c r="M46" s="99"/>
      <x:c r="N46" s="99" t="str">
        <x:v>V</x:v>
      </x:c>
      <x:c r="O46" s="99" t="str">
        <x:v>V</x:v>
      </x:c>
      <x:c r="P46" s="59" t="n">
        <x:f>COUNTIF(F46:O46,"V")</x:f>
        <x:v>3</x:v>
      </x:c>
      <x:c r="Q46" s="60" t="str"/>
    </x:row>
    <x:row r="47">
      <x:c r="A47" s="58" t="n">
        <x:v>45</x:v>
      </x:c>
      <x:c r="B47" s="59" t="str">
        <x:v>STI-636</x:v>
      </x:c>
      <x:c r="C47" s="73" t="str">
        <x:v>Machine Learning (+P)</x:v>
      </x:c>
      <x:c r="D47" s="59" t="n">
        <x:v>6</x:v>
      </x:c>
      <x:c r="E47" s="59" t="n">
        <x:v>3</x:v>
      </x:c>
      <x:c r="F47" s="99"/>
      <x:c r="G47" s="99"/>
      <x:c r="H47" s="99" t="str">
        <x:v>V</x:v>
      </x:c>
      <x:c r="I47" s="99"/>
      <x:c r="J47" s="99"/>
      <x:c r="K47" s="99"/>
      <x:c r="L47" s="99"/>
      <x:c r="M47" s="99"/>
      <x:c r="N47" s="99" t="str">
        <x:v>V</x:v>
      </x:c>
      <x:c r="O47" s="99"/>
      <x:c r="P47" s="59" t="n">
        <x:f>COUNTIF(F47:O47,"V")</x:f>
        <x:v>2</x:v>
      </x:c>
      <x:c r="Q47" s="60" t="str"/>
    </x:row>
    <x:row r="48">
      <x:c r="A48" s="58" t="n">
        <x:v>46</x:v>
      </x:c>
      <x:c r="B48" s="59" t="str">
        <x:v>STI-637</x:v>
      </x:c>
      <x:c r="C48" s="73" t="str">
        <x:v>Smart City dan Sistem Pemerintahan Digital</x:v>
      </x:c>
      <x:c r="D48" s="59" t="n">
        <x:v>6</x:v>
      </x:c>
      <x:c r="E48" s="59" t="n">
        <x:v>3</x:v>
      </x:c>
      <x:c r="F48" s="99" t="str">
        <x:v>V</x:v>
      </x:c>
      <x:c r="G48" s="99"/>
      <x:c r="H48" s="99"/>
      <x:c r="I48" s="99"/>
      <x:c r="J48" s="99"/>
      <x:c r="K48" s="99"/>
      <x:c r="L48" s="99" t="str">
        <x:v>V</x:v>
      </x:c>
      <x:c r="M48" s="99" t="str">
        <x:v>V</x:v>
      </x:c>
      <x:c r="N48" s="99"/>
      <x:c r="O48" s="99"/>
      <x:c r="P48" s="59" t="n">
        <x:f>COUNTIF(F48:O48,"V")</x:f>
        <x:v>3</x:v>
      </x:c>
      <x:c r="Q48" s="60" t="str"/>
    </x:row>
    <x:row r="49">
      <x:c r="A49" s="58" t="n">
        <x:v>47</x:v>
      </x:c>
      <x:c r="B49" s="59" t="str">
        <x:v>STI-638</x:v>
      </x:c>
      <x:c r="C49" s="73" t="str">
        <x:v>Intelligent Signal Processing</x:v>
      </x:c>
      <x:c r="D49" s="59" t="n">
        <x:v>6</x:v>
      </x:c>
      <x:c r="E49" s="59" t="n">
        <x:v>3</x:v>
      </x:c>
      <x:c r="F49" s="99"/>
      <x:c r="G49" s="99"/>
      <x:c r="H49" s="99" t="str">
        <x:v>V</x:v>
      </x:c>
      <x:c r="I49" s="99"/>
      <x:c r="J49" s="99" t="str">
        <x:v>V</x:v>
      </x:c>
      <x:c r="K49" s="99"/>
      <x:c r="L49" s="99"/>
      <x:c r="M49" s="99"/>
      <x:c r="N49" s="99" t="str">
        <x:v>V</x:v>
      </x:c>
      <x:c r="O49" s="99"/>
      <x:c r="P49" s="59" t="n">
        <x:f>COUNTIF(F49:O49,"V")</x:f>
        <x:v>3</x:v>
      </x:c>
      <x:c r="Q49" s="60" t="str"/>
    </x:row>
    <x:row r="50">
      <x:c r="A50" s="58" t="n">
        <x:v>48</x:v>
      </x:c>
      <x:c r="B50" s="59" t="str">
        <x:v>MFT-002</x:v>
      </x:c>
      <x:c r="C50" s="73" t="str">
        <x:v>Metodologi Penelitian</x:v>
      </x:c>
      <x:c r="D50" s="59" t="n">
        <x:v>7</x:v>
      </x:c>
      <x:c r="E50" s="59" t="n">
        <x:v>2</x:v>
      </x:c>
      <x:c r="F50" s="99"/>
      <x:c r="G50" s="99"/>
      <x:c r="H50" s="99"/>
      <x:c r="I50" s="99"/>
      <x:c r="J50" s="99"/>
      <x:c r="K50" s="99"/>
      <x:c r="L50" s="99"/>
      <x:c r="M50" s="99"/>
      <x:c r="N50" s="99" t="str">
        <x:v>V</x:v>
      </x:c>
      <x:c r="O50" s="99" t="str">
        <x:v>V</x:v>
      </x:c>
      <x:c r="P50" s="59" t="n">
        <x:f>COUNTIF(F50:O50,"V")</x:f>
        <x:v>2</x:v>
      </x:c>
      <x:c r="Q50" s="60" t="str"/>
    </x:row>
    <x:row r="51">
      <x:c r="A51" s="58" t="n">
        <x:v>49</x:v>
      </x:c>
      <x:c r="B51" s="59" t="str">
        <x:v>MFT-003</x:v>
      </x:c>
      <x:c r="C51" s="73" t="str">
        <x:v>Praktik Kerja Lapangan</x:v>
      </x:c>
      <x:c r="D51" s="59" t="n">
        <x:v>7</x:v>
      </x:c>
      <x:c r="E51" s="59" t="n">
        <x:v>3</x:v>
      </x:c>
      <x:c r="F51" s="99" t="str">
        <x:v>V</x:v>
      </x:c>
      <x:c r="G51" s="99" t="str">
        <x:v>V</x:v>
      </x:c>
      <x:c r="H51" s="99"/>
      <x:c r="I51" s="99"/>
      <x:c r="J51" s="99"/>
      <x:c r="K51" s="99"/>
      <x:c r="L51" s="99"/>
      <x:c r="M51" s="99"/>
      <x:c r="N51" s="99"/>
      <x:c r="O51" s="99" t="str">
        <x:v>V</x:v>
      </x:c>
      <x:c r="P51" s="59" t="n">
        <x:f>COUNTIF(F51:O51,"V")</x:f>
        <x:v>3</x:v>
      </x:c>
      <x:c r="Q51" s="60" t="str"/>
    </x:row>
    <x:row r="52">
      <x:c r="A52" s="58" t="n">
        <x:v>50</x:v>
      </x:c>
      <x:c r="B52" s="59" t="str">
        <x:v>STI-739</x:v>
      </x:c>
      <x:c r="C52" s="73" t="str">
        <x:v>Platform Literasi dan Edukasi Digital (+P)</x:v>
      </x:c>
      <x:c r="D52" s="59" t="n">
        <x:v>7</x:v>
      </x:c>
      <x:c r="E52" s="59" t="n">
        <x:v>3</x:v>
      </x:c>
      <x:c r="F52" s="99"/>
      <x:c r="G52" s="99"/>
      <x:c r="H52" s="99"/>
      <x:c r="I52" s="99" t="str">
        <x:v>V</x:v>
      </x:c>
      <x:c r="J52" s="99"/>
      <x:c r="K52" s="99"/>
      <x:c r="L52" s="99"/>
      <x:c r="M52" s="99" t="str">
        <x:v>V</x:v>
      </x:c>
      <x:c r="N52" s="99"/>
      <x:c r="O52" s="99" t="str">
        <x:v>V</x:v>
      </x:c>
      <x:c r="P52" s="59" t="n">
        <x:f>COUNTIF(F52:O52,"V")</x:f>
        <x:v>3</x:v>
      </x:c>
      <x:c r="Q52" s="60" t="str"/>
    </x:row>
    <x:row r="53">
      <x:c r="A53" s="58" t="n">
        <x:v>51</x:v>
      </x:c>
      <x:c r="B53" s="59" t="str">
        <x:v>STI-740</x:v>
      </x:c>
      <x:c r="C53" s="73" t="str">
        <x:v>Penambangan Data dan Visualisasi (+P)</x:v>
      </x:c>
      <x:c r="D53" s="59" t="n">
        <x:v>7</x:v>
      </x:c>
      <x:c r="E53" s="59" t="n">
        <x:v>3</x:v>
      </x:c>
      <x:c r="F53" s="99"/>
      <x:c r="G53" s="99"/>
      <x:c r="H53" s="99" t="str">
        <x:v>V</x:v>
      </x:c>
      <x:c r="I53" s="99" t="str">
        <x:v>V</x:v>
      </x:c>
      <x:c r="J53" s="99"/>
      <x:c r="K53" s="99" t="str">
        <x:v>V</x:v>
      </x:c>
      <x:c r="L53" s="99"/>
      <x:c r="M53" s="99"/>
      <x:c r="N53" s="99"/>
      <x:c r="O53" s="99"/>
      <x:c r="P53" s="59" t="n">
        <x:f>COUNTIF(F53:O53,"V")</x:f>
        <x:v>3</x:v>
      </x:c>
      <x:c r="Q53" s="60" t="str"/>
    </x:row>
    <x:row r="54">
      <x:c r="A54" s="58" t="n">
        <x:v>52</x:v>
      </x:c>
      <x:c r="B54" s="59" t="str">
        <x:v>STI-741</x:v>
      </x:c>
      <x:c r="C54" s="73" t="str">
        <x:v>Integrasi Layanan Cerdas Berbasis AI</x:v>
      </x:c>
      <x:c r="D54" s="59" t="n">
        <x:v>7</x:v>
      </x:c>
      <x:c r="E54" s="59" t="n">
        <x:v>3</x:v>
      </x:c>
      <x:c r="F54" s="99"/>
      <x:c r="G54" s="99" t="str">
        <x:v>V</x:v>
      </x:c>
      <x:c r="H54" s="99" t="str">
        <x:v>V</x:v>
      </x:c>
      <x:c r="I54" s="99"/>
      <x:c r="J54" s="99" t="str">
        <x:v>V</x:v>
      </x:c>
      <x:c r="K54" s="99" t="str">
        <x:v>V</x:v>
      </x:c>
      <x:c r="L54" s="99"/>
      <x:c r="M54" s="99"/>
      <x:c r="N54" s="99"/>
      <x:c r="O54" s="99"/>
      <x:c r="P54" s="59" t="n">
        <x:f>COUNTIF(F54:O54,"V")</x:f>
        <x:v>4</x:v>
      </x:c>
      <x:c r="Q54" s="60" t="str"/>
    </x:row>
    <x:row r="55">
      <x:c r="A55" s="58" t="n">
        <x:v>53</x:v>
      </x:c>
      <x:c r="B55" s="59" t="str">
        <x:v>STI-742</x:v>
      </x:c>
      <x:c r="C55" s="73" t="str">
        <x:v>Inovasi Teknologi dan Startup Digital</x:v>
      </x:c>
      <x:c r="D55" s="59" t="n">
        <x:v>7</x:v>
      </x:c>
      <x:c r="E55" s="59" t="n">
        <x:v>3</x:v>
      </x:c>
      <x:c r="F55" s="99"/>
      <x:c r="G55" s="99"/>
      <x:c r="H55" s="99"/>
      <x:c r="I55" s="99"/>
      <x:c r="J55" s="99"/>
      <x:c r="K55" s="99"/>
      <x:c r="L55" s="99"/>
      <x:c r="M55" s="99" t="str">
        <x:v>V</x:v>
      </x:c>
      <x:c r="N55" s="99"/>
      <x:c r="O55" s="99" t="str">
        <x:v>V</x:v>
      </x:c>
      <x:c r="P55" s="59" t="n">
        <x:f>COUNTIF(F55:O55,"V")</x:f>
        <x:v>2</x:v>
      </x:c>
      <x:c r="Q55" s="60" t="str"/>
    </x:row>
    <x:row r="56">
      <x:c r="A56" s="58" t="n">
        <x:v>54</x:v>
      </x:c>
      <x:c r="B56" s="59" t="str">
        <x:v>STI-743</x:v>
      </x:c>
      <x:c r="C56" s="73" t="str">
        <x:v>Audit dan Tata Kelola Sistem Informasi</x:v>
      </x:c>
      <x:c r="D56" s="59" t="n">
        <x:v>7</x:v>
      </x:c>
      <x:c r="E56" s="59" t="n">
        <x:v>3</x:v>
      </x:c>
      <x:c r="F56" s="99"/>
      <x:c r="G56" s="99"/>
      <x:c r="H56" s="99"/>
      <x:c r="I56" s="99"/>
      <x:c r="J56" s="99"/>
      <x:c r="K56" s="99"/>
      <x:c r="L56" s="99" t="str">
        <x:v>V</x:v>
      </x:c>
      <x:c r="M56" s="99"/>
      <x:c r="N56" s="99" t="str">
        <x:v>V</x:v>
      </x:c>
      <x:c r="O56" s="99" t="str">
        <x:v>V</x:v>
      </x:c>
      <x:c r="P56" s="59" t="n">
        <x:f>COUNTIF(F56:O56,"V")</x:f>
        <x:v>3</x:v>
      </x:c>
      <x:c r="Q56" s="60" t="str"/>
    </x:row>
    <x:row r="57">
      <x:c r="A57" s="58" t="n">
        <x:v>55</x:v>
      </x:c>
      <x:c r="B57" s="59" t="str">
        <x:v>MFT-004</x:v>
      </x:c>
      <x:c r="C57" s="73" t="str">
        <x:v>Skripsi</x:v>
      </x:c>
      <x:c r="D57" s="59" t="n">
        <x:v>8</x:v>
      </x:c>
      <x:c r="E57" s="59" t="n">
        <x:v>6</x:v>
      </x:c>
      <x:c r="F57" s="99" t="str">
        <x:v>V</x:v>
      </x:c>
      <x:c r="G57" s="99"/>
      <x:c r="H57" s="99"/>
      <x:c r="I57" s="99"/>
      <x:c r="J57" s="99"/>
      <x:c r="K57" s="99"/>
      <x:c r="L57" s="99"/>
      <x:c r="M57" s="99"/>
      <x:c r="N57" s="99" t="str">
        <x:v>V</x:v>
      </x:c>
      <x:c r="O57" s="99" t="str">
        <x:v>V</x:v>
      </x:c>
      <x:c r="P57" s="59" t="n">
        <x:f>COUNTIF(F57:O57,"V")</x:f>
        <x:v>3</x:v>
      </x:c>
      <x:c r="Q57" s="60" t="str"/>
    </x:row>
    <x:row r="58">
      <x:c r="A58" s="58" t="n">
        <x:v>56</x:v>
      </x:c>
      <x:c r="B58" s="59" t="str">
        <x:v>STI-844</x:v>
      </x:c>
      <x:c r="C58" s="73" t="str">
        <x:v>Pra Skripsi</x:v>
      </x:c>
      <x:c r="D58" s="59" t="n">
        <x:v>8</x:v>
      </x:c>
      <x:c r="E58" s="59" t="n">
        <x:v>2</x:v>
      </x:c>
      <x:c r="F58" s="99"/>
      <x:c r="G58" s="99"/>
      <x:c r="H58" s="99"/>
      <x:c r="I58" s="99"/>
      <x:c r="J58" s="99"/>
      <x:c r="K58" s="99"/>
      <x:c r="L58" s="99"/>
      <x:c r="M58" s="99"/>
      <x:c r="N58" s="99" t="str">
        <x:v>V</x:v>
      </x:c>
      <x:c r="O58" s="99" t="str">
        <x:v>V</x:v>
      </x:c>
      <x:c r="P58" s="59" t="n">
        <x:f>COUNTIF(F58:O58,"V")</x:f>
        <x:v>2</x:v>
      </x:c>
      <x:c r="Q58" s="60" t="str"/>
    </x:row>
    <x:row r="59">
      <x:c r="A59" s="93" t="str">
        <x:v>Jumlah mata kuliah pendukung tiap CPL</x:v>
      </x:c>
      <x:c r="B59" s="94"/>
      <x:c r="C59" s="94"/>
      <x:c r="D59" s="94"/>
      <x:c r="E59" s="94"/>
      <x:c r="F59" s="94" t="n">
        <x:f>COUNTIF(F3:F58,"V")</x:f>
        <x:v>7</x:v>
      </x:c>
      <x:c r="G59" s="94" t="n">
        <x:f>COUNTIF(G3:G58,"V")</x:f>
        <x:v>13</x:v>
      </x:c>
      <x:c r="H59" s="94" t="n">
        <x:f>COUNTIF(H3:H58,"V")</x:f>
        <x:v>12</x:v>
      </x:c>
      <x:c r="I59" s="94" t="n">
        <x:f>COUNTIF(I3:I58,"V")</x:f>
        <x:v>10</x:v>
      </x:c>
      <x:c r="J59" s="94" t="n">
        <x:f>COUNTIF(J3:J58,"V")</x:f>
        <x:v>11</x:v>
      </x:c>
      <x:c r="K59" s="94" t="n">
        <x:f>COUNTIF(K3:K58,"V")</x:f>
        <x:v>8</x:v>
      </x:c>
      <x:c r="L59" s="94" t="n">
        <x:f>COUNTIF(L3:L58,"V")</x:f>
        <x:v>11</x:v>
      </x:c>
      <x:c r="M59" s="94" t="n">
        <x:f>COUNTIF(M3:M58,"V")</x:f>
        <x:v>10</x:v>
      </x:c>
      <x:c r="N59" s="94" t="n">
        <x:f>COUNTIF(N3:N58,"V")</x:f>
        <x:v>17</x:v>
      </x:c>
      <x:c r="O59" s="94" t="n">
        <x:f>COUNTIF(O3:O58,"V")</x:f>
        <x:v>22</x:v>
      </x:c>
      <x:c r="P59" s="94" t="n">
        <x:f>SUM(F59:O59)</x:f>
        <x:v>121</x:v>
      </x:c>
      <x:c r="Q59" s="95" t="str">
        <x:v>Seluruh MK telah memiliki minimal satu kontribusi CPL.</x:v>
      </x:c>
    </x:row>
  </x:sheetData>
  <x:mergeCells>
    <x:mergeCell ref="A1:Q1"/>
    <x:mergeCell ref="A59:E59"/>
  </x:mergeCells>
  <x:conditionalFormatting sqref="F3:O58">
    <x:cfRule type="expression" dxfId="5" priority="1">
      <x:formula>F3="V"</x:formula>
    </x:cfRule>
  </x:conditionalFormatting>
  <x:conditionalFormatting sqref="P3:P58">
    <x:cfRule type="cellIs" dxfId="6" priority="2" operator="greaterThan">
      <x:formula>4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78" hidden="0" customWidth="1"/>
    <x:col min="5" max="5" width="28" hidden="0" customWidth="1"/>
    <x:col min="6" max="6" width="38" hidden="0" customWidth="1"/>
  </x:cols>
  <x:sheetData>
    <x:row r="1" ht="28" customHeight="1">
      <x:c r="A1" s="5" t="str">
        <x:v>ORGANISASI MATA KULIAH KURIKULUM 2025</x:v>
      </x:c>
      <x:c r="B1" s="5"/>
      <x:c r="C1" s="5"/>
      <x:c r="D1" s="5"/>
      <x:c r="E1" s="5"/>
      <x:c r="F1" s="5"/>
    </x:row>
    <x:row r="2">
      <x:c r="A2" s="55" t="str">
        <x:v>Semester</x:v>
      </x:c>
      <x:c r="B2" s="56" t="str">
        <x:v>Jumlah MK</x:v>
      </x:c>
      <x:c r="C2" s="56" t="str">
        <x:v>Total SKS</x:v>
      </x:c>
      <x:c r="D2" s="56" t="str">
        <x:v>Daftar Mata Kuliah</x:v>
      </x:c>
      <x:c r="E2" s="56" t="str">
        <x:v>CPL Dominan</x:v>
      </x:c>
      <x:c r="F2" s="57" t="str">
        <x:v>Catatan</x:v>
      </x:c>
    </x:row>
    <x:row r="3">
      <x:c r="A3" s="58" t="n">
        <x:v>1</x:v>
      </x:c>
      <x:c r="B3" s="59" t="n">
        <x:v>7</x:v>
      </x:c>
      <x:c r="C3" s="59" t="n">
        <x:v>18</x:v>
      </x:c>
      <x:c r="D3" s="73" t="str">
        <x:v>MKU-101 - Agama I (2 SKS)
MKU-102 - Pancasila (2 SKS)
MKU-103 - Bahasa Indonesia (2 SKS)
STI-101 - Pengantar Sistem dan Teknologi Informasi (3 SKS)
STI-102 - Algoritma dan Pemrograman (+P) (3 SKS)
STI-103 - Logika Informatika (2 SKS)
STI-104 - Kalkulus (4 SKS)</x:v>
      </x:c>
      <x:c r="E3" s="73" t="str">
        <x:v>CPL09, CPL10, CPL07</x:v>
      </x:c>
      <x:c r="F3" s="77" t="str"/>
    </x:row>
    <x:row r="4">
      <x:c r="A4" s="58" t="n">
        <x:v>2</x:v>
      </x:c>
      <x:c r="B4" s="59" t="n">
        <x:v>7</x:v>
      </x:c>
      <x:c r="C4" s="59" t="n">
        <x:v>18</x:v>
      </x:c>
      <x:c r="D4" s="73" t="str">
        <x:v>MFT-201 - Bahasa Inggris (2 SKS)
MKU-204 - Kewirausahaan I (2 SKS)
STI-205 - Matematika Diskrit (2 SKS)
STI-206 - Basis Data (+P) (3 SKS)
STI-207 - Struktur Data (3 SKS)
STI-208 - Visualisasi Data dan Dashboard Interaktif (+P) (2 SKS)
STI-209 - Aljabar Linear (4 SKS)</x:v>
      </x:c>
      <x:c r="E4" s="73" t="str">
        <x:v>CPL09, CPL10, CPL02</x:v>
      </x:c>
      <x:c r="F4" s="77" t="str"/>
    </x:row>
    <x:row r="5">
      <x:c r="A5" s="58" t="n">
        <x:v>3</x:v>
      </x:c>
      <x:c r="B5" s="59" t="n">
        <x:v>8</x:v>
      </x:c>
      <x:c r="C5" s="59" t="n">
        <x:v>20</x:v>
      </x:c>
      <x:c r="D5" s="73" t="str">
        <x:v>STI-310 - Analisis dan Perancangan Sistem Informasi (3 SKS)
STI-311 - Sistem Operasi (3 SKS)
STI-312 - Pemrograman Web (+P) (3 SKS)
STI-313 - Keamanan Informasi Dasar (2 SKS)
STI-314 - Interaksi Manusia dan Komputer (3 SKS)
STI-315 - Etika dan Hukum TI (2 SKS)
STI-316 - Multimedia Interaktif (2 SKS)
STI-317 - Metode Komputasi dan Numerik (2 SKS)</x:v>
      </x:c>
      <x:c r="E5" s="73" t="str">
        <x:v>CPL02, CPL10, CPL05</x:v>
      </x:c>
      <x:c r="F5" s="77" t="str"/>
    </x:row>
    <x:row r="6">
      <x:c r="A6" s="58" t="n">
        <x:v>4</x:v>
      </x:c>
      <x:c r="B6" s="59" t="n">
        <x:v>9</x:v>
      </x:c>
      <x:c r="C6" s="59" t="n">
        <x:v>20</x:v>
      </x:c>
      <x:c r="D6" s="73" t="str">
        <x:v>MKU-405 - Kewarganegaraan (2 SKS)
MKU-406 - Agama II (0 SKS)
STI-418 - Sistem Cerdas (2 SKS)
STI-419 - Mobile Application Development (+P) (3 SKS)
STI-420 - Semantic Web dan Ontologi (2 SKS)
STI-421 - Manajemen Proyek TI (2 SKS)
STI-422 - E-Commerce dan Digital Business (3 SKS)
STI-423 - Game Design dan Gamifikasi Sosial (+P) (3 SKS)
STI-424 - Probabilitas dan Statistika (3 SKS)</x:v>
      </x:c>
      <x:c r="E6" s="73" t="str">
        <x:v>CPL10, CPL08, CPL07</x:v>
      </x:c>
      <x:c r="F6" s="77" t="str"/>
    </x:row>
    <x:row r="7">
      <x:c r="A7" s="58" t="n">
        <x:v>5</x:v>
      </x:c>
      <x:c r="B7" s="59" t="n">
        <x:v>9</x:v>
      </x:c>
      <x:c r="C7" s="59" t="n">
        <x:v>21</x:v>
      </x:c>
      <x:c r="D7" s="73" t="str">
        <x:v>MKU-507 - Kuliah Pengabdian Kepada Masyarakat (3 SKS)
MKU-508 - Kewirausahaan II (0 SKS)
STI-525 - Pemrograman Lanjut dan API (+P) (3 SKS)
STI-526 - Internet of Things (+P) (3 SKS)
STI-527 - Sistem Informasi Berbasis Cloud (2 SKS)
STI-528 - Text Mining dan NLP (2 SKS)
STI-529 - Keamanan Jaringan dan Forensik Digital (+P) (3 SKS)
STI-530 - Data Warehouse dan Business Intelligence (+P) (3 SKS)
STI-531 - Augmented Reality dan Virtual Reality (+P) (2 SKS)</x:v>
      </x:c>
      <x:c r="E7" s="73" t="str">
        <x:v>CPL05, CPL02, CPL07</x:v>
      </x:c>
      <x:c r="F7" s="77" t="str"/>
    </x:row>
    <x:row r="8">
      <x:c r="A8" s="58" t="n">
        <x:v>6</x:v>
      </x:c>
      <x:c r="B8" s="59" t="n">
        <x:v>7</x:v>
      </x:c>
      <x:c r="C8" s="59" t="n">
        <x:v>21</x:v>
      </x:c>
      <x:c r="D8" s="73" t="str">
        <x:v>STI-632 - Rekayasa Perangkat Lunak (3 SKS)
STI-633 - Sistem Pendukung Keputusan (3 SKS)
STI-634 - Pengolahan Citra Digital dan Vision (+P) (3 SKS)
STI-635 - Desain dan Evaluasi Antarmuka Pengguna (UI/UX) (+P) (3 SKS)
STI-636 - Machine Learning (+P) (3 SKS)
STI-637 - Smart City dan Sistem Pemerintahan Digital (3 SKS)
STI-638 - Intelligent Signal Processing (3 SKS)</x:v>
      </x:c>
      <x:c r="E8" s="73" t="str">
        <x:v>CPL03, CPL01, CPL09</x:v>
      </x:c>
      <x:c r="F8" s="77" t="str"/>
    </x:row>
    <x:row r="9">
      <x:c r="A9" s="58" t="n">
        <x:v>7</x:v>
      </x:c>
      <x:c r="B9" s="59" t="n">
        <x:v>7</x:v>
      </x:c>
      <x:c r="C9" s="59" t="n">
        <x:v>20</x:v>
      </x:c>
      <x:c r="D9" s="73" t="str">
        <x:v>MFT-002 - Metodologi Penelitian (2 SKS)
MFT-003 - Praktik Kerja Lapangan (3 SKS)
STI-739 - Platform Literasi dan Edukasi Digital (+P) (3 SKS)
STI-740 - Penambangan Data dan Visualisasi (+P) (3 SKS)
STI-741 - Integrasi Layanan Cerdas Berbasis AI (3 SKS)
STI-742 - Inovasi Teknologi dan Startup Digital (3 SKS)
STI-743 - Audit dan Tata Kelola Sistem Informasi (3 SKS)</x:v>
      </x:c>
      <x:c r="E9" s="73" t="str">
        <x:v>CPL10, CPL09, CPL02</x:v>
      </x:c>
      <x:c r="F9" s="77" t="str"/>
    </x:row>
    <x:row r="10">
      <x:c r="A10" s="58" t="n">
        <x:v>8</x:v>
      </x:c>
      <x:c r="B10" s="59" t="n">
        <x:v>2</x:v>
      </x:c>
      <x:c r="C10" s="59" t="n">
        <x:v>8</x:v>
      </x:c>
      <x:c r="D10" s="73" t="str">
        <x:v>MFT-004 - Skripsi (6 SKS)
STI-844 - Pra Skripsi (2 SKS)</x:v>
      </x:c>
      <x:c r="E10" s="73" t="str">
        <x:v>CPL09, CPL10, CPL01</x:v>
      </x:c>
      <x:c r="F10" s="77" t="str"/>
    </x:row>
    <x:row r="11">
      <x:c r="A11" s="93" t="str">
        <x:v>TOTAL</x:v>
      </x:c>
      <x:c r="B11" s="94" t="n">
        <x:v>56</x:v>
      </x:c>
      <x:c r="C11" s="94" t="n">
        <x:v>146</x:v>
      </x:c>
      <x:c r="D11" s="94" t="str"/>
      <x:c r="E11" s="94" t="str"/>
      <x:c r="F11" s="95" t="str">
        <x:v>Data kurikulum 2025 sesuai laporan prodi.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7" hidden="0" customWidth="1"/>
    <x:col min="4" max="4" width="7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</x:cols>
  <x:sheetData>
    <x:row r="1" ht="28" customHeight="1">
      <x:c r="A1" s="5" t="str">
        <x:v>PETA PEMENUHAN CPL OLEH MATA KULIAH - LEVEL I/R/M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83" t="str">
        <x:v>Legenda: I = Introduced (diperkenalkan), R = Reinforced (diperkuat), M = Mastered (dikuasai/diukur pada level akhir). Penetapan level ini adalah rancangan awal yang perlu divalidasi pada RPS.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</x:row>
    <x:row r="3">
      <x:c r="A3" s="55" t="str">
        <x:v>Kode MK</x:v>
      </x:c>
      <x:c r="B3" s="56" t="str">
        <x:v>Nama Mata Kuliah</x:v>
      </x:c>
      <x:c r="C3" s="56" t="str">
        <x:v>SKS</x:v>
      </x:c>
      <x:c r="D3" s="56" t="str">
        <x:v>Smt</x:v>
      </x:c>
      <x:c r="E3" s="56" t="str">
        <x:v>CPL01</x:v>
      </x:c>
      <x:c r="F3" s="56" t="str">
        <x:v>CPL02</x:v>
      </x:c>
      <x:c r="G3" s="56" t="str">
        <x:v>CPL03</x:v>
      </x:c>
      <x:c r="H3" s="56" t="str">
        <x:v>CPL04</x:v>
      </x:c>
      <x:c r="I3" s="56" t="str">
        <x:v>CPL05</x:v>
      </x:c>
      <x:c r="J3" s="56" t="str">
        <x:v>CPL06</x:v>
      </x:c>
      <x:c r="K3" s="56" t="str">
        <x:v>CPL07</x:v>
      </x:c>
      <x:c r="L3" s="56" t="str">
        <x:v>CPL08</x:v>
      </x:c>
      <x:c r="M3" s="56" t="str">
        <x:v>CPL09</x:v>
      </x:c>
      <x:c r="N3" s="56" t="str">
        <x:v>CPL10</x:v>
      </x:c>
      <x:c r="O3" s="57" t="str">
        <x:v>Jumlah CPL</x:v>
      </x:c>
    </x:row>
    <x:row r="4">
      <x:c r="A4" s="58" t="str">
        <x:v>MKU-101</x:v>
      </x:c>
      <x:c r="B4" s="73" t="str">
        <x:v>Agama I</x:v>
      </x:c>
      <x:c r="C4" s="59" t="n">
        <x:v>2</x:v>
      </x:c>
      <x:c r="D4" s="59" t="n">
        <x:v>1</x:v>
      </x:c>
      <x:c r="E4" s="99"/>
      <x:c r="F4" s="99"/>
      <x:c r="G4" s="99"/>
      <x:c r="H4" s="99"/>
      <x:c r="I4" s="99"/>
      <x:c r="J4" s="99"/>
      <x:c r="K4" s="99"/>
      <x:c r="L4" s="99"/>
      <x:c r="M4" s="99"/>
      <x:c r="N4" s="99" t="str">
        <x:v>I</x:v>
      </x:c>
      <x:c r="O4" s="60" t="n">
        <x:f>COUNTA(E4:N4)</x:f>
        <x:v>1</x:v>
      </x:c>
    </x:row>
    <x:row r="5">
      <x:c r="A5" s="58" t="str">
        <x:v>MKU-102</x:v>
      </x:c>
      <x:c r="B5" s="73" t="str">
        <x:v>Pancasila</x:v>
      </x:c>
      <x:c r="C5" s="59" t="n">
        <x:v>2</x:v>
      </x:c>
      <x:c r="D5" s="59" t="n">
        <x:v>1</x:v>
      </x:c>
      <x:c r="E5" s="99"/>
      <x:c r="F5" s="99"/>
      <x:c r="G5" s="99"/>
      <x:c r="H5" s="99"/>
      <x:c r="I5" s="99"/>
      <x:c r="J5" s="99"/>
      <x:c r="K5" s="99" t="str">
        <x:v>I</x:v>
      </x:c>
      <x:c r="L5" s="99"/>
      <x:c r="M5" s="99"/>
      <x:c r="N5" s="99" t="str">
        <x:v>I</x:v>
      </x:c>
      <x:c r="O5" s="60" t="n">
        <x:f>COUNTA(E5:N5)</x:f>
        <x:v>2</x:v>
      </x:c>
    </x:row>
    <x:row r="6">
      <x:c r="A6" s="58" t="str">
        <x:v>MKU-103</x:v>
      </x:c>
      <x:c r="B6" s="73" t="str">
        <x:v>Bahasa Indonesia</x:v>
      </x:c>
      <x:c r="C6" s="59" t="n">
        <x:v>2</x:v>
      </x:c>
      <x:c r="D6" s="59" t="n">
        <x:v>1</x:v>
      </x:c>
      <x:c r="E6" s="99"/>
      <x:c r="F6" s="99"/>
      <x:c r="G6" s="99"/>
      <x:c r="H6" s="99"/>
      <x:c r="I6" s="99"/>
      <x:c r="J6" s="99"/>
      <x:c r="K6" s="99"/>
      <x:c r="L6" s="99"/>
      <x:c r="M6" s="99" t="str">
        <x:v>I</x:v>
      </x:c>
      <x:c r="N6" s="99" t="str">
        <x:v>I</x:v>
      </x:c>
      <x:c r="O6" s="60" t="n">
        <x:f>COUNTA(E6:N6)</x:f>
        <x:v>2</x:v>
      </x:c>
    </x:row>
    <x:row r="7">
      <x:c r="A7" s="58" t="str">
        <x:v>STI-101</x:v>
      </x:c>
      <x:c r="B7" s="73" t="str">
        <x:v>Pengantar Sistem dan Teknologi Informasi</x:v>
      </x:c>
      <x:c r="C7" s="59" t="n">
        <x:v>3</x:v>
      </x:c>
      <x:c r="D7" s="59" t="n">
        <x:v>1</x:v>
      </x:c>
      <x:c r="E7" s="99" t="str">
        <x:v>I</x:v>
      </x:c>
      <x:c r="F7" s="99"/>
      <x:c r="G7" s="99"/>
      <x:c r="H7" s="99"/>
      <x:c r="I7" s="99"/>
      <x:c r="J7" s="99"/>
      <x:c r="K7" s="99" t="str">
        <x:v>I</x:v>
      </x:c>
      <x:c r="L7" s="99"/>
      <x:c r="M7" s="99"/>
      <x:c r="N7" s="99"/>
      <x:c r="O7" s="60" t="n">
        <x:f>COUNTA(E7:N7)</x:f>
        <x:v>2</x:v>
      </x:c>
    </x:row>
    <x:row r="8">
      <x:c r="A8" s="58" t="str">
        <x:v>STI-102</x:v>
      </x:c>
      <x:c r="B8" s="73" t="str">
        <x:v>Algoritma dan Pemrograman (+P)</x:v>
      </x:c>
      <x:c r="C8" s="59" t="n">
        <x:v>3</x:v>
      </x:c>
      <x:c r="D8" s="59" t="n">
        <x:v>1</x:v>
      </x:c>
      <x:c r="E8" s="99"/>
      <x:c r="F8" s="99" t="str">
        <x:v>I</x:v>
      </x:c>
      <x:c r="G8" s="99"/>
      <x:c r="H8" s="99"/>
      <x:c r="I8" s="99"/>
      <x:c r="J8" s="99"/>
      <x:c r="K8" s="99"/>
      <x:c r="L8" s="99"/>
      <x:c r="M8" s="99" t="str">
        <x:v>I</x:v>
      </x:c>
      <x:c r="N8" s="99"/>
      <x:c r="O8" s="60" t="n">
        <x:f>COUNTA(E8:N8)</x:f>
        <x:v>2</x:v>
      </x:c>
    </x:row>
    <x:row r="9">
      <x:c r="A9" s="58" t="str">
        <x:v>STI-103</x:v>
      </x:c>
      <x:c r="B9" s="73" t="str">
        <x:v>Logika Informatika</x:v>
      </x:c>
      <x:c r="C9" s="59" t="n">
        <x:v>2</x:v>
      </x:c>
      <x:c r="D9" s="59" t="n">
        <x:v>1</x:v>
      </x:c>
      <x:c r="E9" s="99"/>
      <x:c r="F9" s="99"/>
      <x:c r="G9" s="99"/>
      <x:c r="H9" s="99"/>
      <x:c r="I9" s="99"/>
      <x:c r="J9" s="99"/>
      <x:c r="K9" s="99"/>
      <x:c r="L9" s="99"/>
      <x:c r="M9" s="99" t="str">
        <x:v>I</x:v>
      </x:c>
      <x:c r="N9" s="99"/>
      <x:c r="O9" s="60" t="n">
        <x:f>COUNTA(E9:N9)</x:f>
        <x:v>1</x:v>
      </x:c>
    </x:row>
    <x:row r="10">
      <x:c r="A10" s="58" t="str">
        <x:v>STI-104</x:v>
      </x:c>
      <x:c r="B10" s="73" t="str">
        <x:v>Kalkulus</x:v>
      </x:c>
      <x:c r="C10" s="59" t="n">
        <x:v>4</x:v>
      </x:c>
      <x:c r="D10" s="59" t="n">
        <x:v>1</x:v>
      </x:c>
      <x:c r="E10" s="99"/>
      <x:c r="F10" s="99"/>
      <x:c r="G10" s="99"/>
      <x:c r="H10" s="99"/>
      <x:c r="I10" s="99"/>
      <x:c r="J10" s="99"/>
      <x:c r="K10" s="99"/>
      <x:c r="L10" s="99"/>
      <x:c r="M10" s="99" t="str">
        <x:v>I</x:v>
      </x:c>
      <x:c r="N10" s="99"/>
      <x:c r="O10" s="60" t="n">
        <x:f>COUNTA(E10:N10)</x:f>
        <x:v>1</x:v>
      </x:c>
    </x:row>
    <x:row r="11">
      <x:c r="A11" s="58" t="str">
        <x:v>MFT-201</x:v>
      </x:c>
      <x:c r="B11" s="73" t="str">
        <x:v>Bahasa Inggris</x:v>
      </x:c>
      <x:c r="C11" s="59" t="n">
        <x:v>2</x:v>
      </x:c>
      <x:c r="D11" s="59" t="n">
        <x:v>2</x:v>
      </x:c>
      <x:c r="E11" s="99"/>
      <x:c r="F11" s="99"/>
      <x:c r="G11" s="99"/>
      <x:c r="H11" s="99"/>
      <x:c r="I11" s="99"/>
      <x:c r="J11" s="99"/>
      <x:c r="K11" s="99"/>
      <x:c r="L11" s="99"/>
      <x:c r="M11" s="99"/>
      <x:c r="N11" s="99" t="str">
        <x:v>R</x:v>
      </x:c>
      <x:c r="O11" s="60" t="n">
        <x:f>COUNTA(E11:N11)</x:f>
        <x:v>1</x:v>
      </x:c>
    </x:row>
    <x:row r="12">
      <x:c r="A12" s="58" t="str">
        <x:v>MKU-204</x:v>
      </x:c>
      <x:c r="B12" s="73" t="str">
        <x:v>Kewirausahaan I</x:v>
      </x:c>
      <x:c r="C12" s="59" t="n">
        <x:v>2</x:v>
      </x:c>
      <x:c r="D12" s="59" t="n">
        <x:v>2</x:v>
      </x:c>
      <x:c r="E12" s="99"/>
      <x:c r="F12" s="99"/>
      <x:c r="G12" s="99"/>
      <x:c r="H12" s="99"/>
      <x:c r="I12" s="99"/>
      <x:c r="J12" s="99"/>
      <x:c r="K12" s="99"/>
      <x:c r="L12" s="99" t="str">
        <x:v>I</x:v>
      </x:c>
      <x:c r="M12" s="99"/>
      <x:c r="N12" s="99" t="str">
        <x:v>R</x:v>
      </x:c>
      <x:c r="O12" s="60" t="n">
        <x:f>COUNTA(E12:N12)</x:f>
        <x:v>2</x:v>
      </x:c>
    </x:row>
    <x:row r="13">
      <x:c r="A13" s="58" t="str">
        <x:v>STI-205</x:v>
      </x:c>
      <x:c r="B13" s="73" t="str">
        <x:v>Matematika Diskrit</x:v>
      </x:c>
      <x:c r="C13" s="59" t="n">
        <x:v>2</x:v>
      </x:c>
      <x:c r="D13" s="59" t="n">
        <x:v>2</x:v>
      </x:c>
      <x:c r="E13" s="99"/>
      <x:c r="F13" s="99"/>
      <x:c r="G13" s="99"/>
      <x:c r="H13" s="99"/>
      <x:c r="I13" s="99"/>
      <x:c r="J13" s="99"/>
      <x:c r="K13" s="99"/>
      <x:c r="L13" s="99"/>
      <x:c r="M13" s="99" t="str">
        <x:v>R</x:v>
      </x:c>
      <x:c r="N13" s="99"/>
      <x:c r="O13" s="60" t="n">
        <x:f>COUNTA(E13:N13)</x:f>
        <x:v>1</x:v>
      </x:c>
    </x:row>
    <x:row r="14">
      <x:c r="A14" s="58" t="str">
        <x:v>STI-206</x:v>
      </x:c>
      <x:c r="B14" s="73" t="str">
        <x:v>Basis Data (+P)</x:v>
      </x:c>
      <x:c r="C14" s="59" t="n">
        <x:v>3</x:v>
      </x:c>
      <x:c r="D14" s="59" t="n">
        <x:v>2</x:v>
      </x:c>
      <x:c r="E14" s="99"/>
      <x:c r="F14" s="99" t="str">
        <x:v>R</x:v>
      </x:c>
      <x:c r="G14" s="99"/>
      <x:c r="H14" s="99"/>
      <x:c r="I14" s="99"/>
      <x:c r="J14" s="99" t="str">
        <x:v>I</x:v>
      </x:c>
      <x:c r="K14" s="99"/>
      <x:c r="L14" s="99"/>
      <x:c r="M14" s="99"/>
      <x:c r="N14" s="99"/>
      <x:c r="O14" s="60" t="n">
        <x:f>COUNTA(E14:N14)</x:f>
        <x:v>2</x:v>
      </x:c>
    </x:row>
    <x:row r="15">
      <x:c r="A15" s="58" t="str">
        <x:v>STI-207</x:v>
      </x:c>
      <x:c r="B15" s="73" t="str">
        <x:v>Struktur Data</x:v>
      </x:c>
      <x:c r="C15" s="59" t="n">
        <x:v>3</x:v>
      </x:c>
      <x:c r="D15" s="59" t="n">
        <x:v>2</x:v>
      </x:c>
      <x:c r="E15" s="99"/>
      <x:c r="F15" s="99" t="str">
        <x:v>R</x:v>
      </x:c>
      <x:c r="G15" s="99"/>
      <x:c r="H15" s="99"/>
      <x:c r="I15" s="99"/>
      <x:c r="J15" s="99"/>
      <x:c r="K15" s="99"/>
      <x:c r="L15" s="99"/>
      <x:c r="M15" s="99" t="str">
        <x:v>R</x:v>
      </x:c>
      <x:c r="N15" s="99"/>
      <x:c r="O15" s="60" t="n">
        <x:f>COUNTA(E15:N15)</x:f>
        <x:v>2</x:v>
      </x:c>
    </x:row>
    <x:row r="16">
      <x:c r="A16" s="58" t="str">
        <x:v>STI-208</x:v>
      </x:c>
      <x:c r="B16" s="73" t="str">
        <x:v>Visualisasi Data dan Dashboard Interaktif (+P)</x:v>
      </x:c>
      <x:c r="C16" s="59" t="n">
        <x:v>2</x:v>
      </x:c>
      <x:c r="D16" s="59" t="n">
        <x:v>2</x:v>
      </x:c>
      <x:c r="E16" s="99"/>
      <x:c r="F16" s="99"/>
      <x:c r="G16" s="99" t="str">
        <x:v>I</x:v>
      </x:c>
      <x:c r="H16" s="99" t="str">
        <x:v>I</x:v>
      </x:c>
      <x:c r="I16" s="99"/>
      <x:c r="J16" s="99" t="str">
        <x:v>I</x:v>
      </x:c>
      <x:c r="K16" s="99"/>
      <x:c r="L16" s="99"/>
      <x:c r="M16" s="99"/>
      <x:c r="N16" s="99"/>
      <x:c r="O16" s="60" t="n">
        <x:f>COUNTA(E16:N16)</x:f>
        <x:v>3</x:v>
      </x:c>
    </x:row>
    <x:row r="17">
      <x:c r="A17" s="58" t="str">
        <x:v>STI-209</x:v>
      </x:c>
      <x:c r="B17" s="73" t="str">
        <x:v>Aljabar Linear</x:v>
      </x:c>
      <x:c r="C17" s="59" t="n">
        <x:v>4</x:v>
      </x:c>
      <x:c r="D17" s="59" t="n">
        <x:v>2</x:v>
      </x:c>
      <x:c r="E17" s="99"/>
      <x:c r="F17" s="99"/>
      <x:c r="G17" s="99"/>
      <x:c r="H17" s="99"/>
      <x:c r="I17" s="99"/>
      <x:c r="J17" s="99"/>
      <x:c r="K17" s="99"/>
      <x:c r="L17" s="99"/>
      <x:c r="M17" s="99" t="str">
        <x:v>R</x:v>
      </x:c>
      <x:c r="N17" s="99"/>
      <x:c r="O17" s="60" t="n">
        <x:f>COUNTA(E17:N17)</x:f>
        <x:v>1</x:v>
      </x:c>
    </x:row>
    <x:row r="18">
      <x:c r="A18" s="58" t="str">
        <x:v>STI-310</x:v>
      </x:c>
      <x:c r="B18" s="73" t="str">
        <x:v>Analisis dan Perancangan Sistem Informasi</x:v>
      </x:c>
      <x:c r="C18" s="59" t="n">
        <x:v>3</x:v>
      </x:c>
      <x:c r="D18" s="59" t="n">
        <x:v>3</x:v>
      </x:c>
      <x:c r="E18" s="99" t="str">
        <x:v>R</x:v>
      </x:c>
      <x:c r="F18" s="99" t="str">
        <x:v>R</x:v>
      </x:c>
      <x:c r="G18" s="99"/>
      <x:c r="H18" s="99"/>
      <x:c r="I18" s="99"/>
      <x:c r="J18" s="99"/>
      <x:c r="K18" s="99"/>
      <x:c r="L18" s="99"/>
      <x:c r="M18" s="99"/>
      <x:c r="N18" s="99" t="str">
        <x:v>R</x:v>
      </x:c>
      <x:c r="O18" s="60" t="n">
        <x:f>COUNTA(E18:N18)</x:f>
        <x:v>3</x:v>
      </x:c>
    </x:row>
    <x:row r="19">
      <x:c r="A19" s="58" t="str">
        <x:v>STI-311</x:v>
      </x:c>
      <x:c r="B19" s="73" t="str">
        <x:v>Sistem Operasi</x:v>
      </x:c>
      <x:c r="C19" s="59" t="n">
        <x:v>3</x:v>
      </x:c>
      <x:c r="D19" s="59" t="n">
        <x:v>3</x:v>
      </x:c>
      <x:c r="E19" s="99"/>
      <x:c r="F19" s="99" t="str">
        <x:v>R</x:v>
      </x:c>
      <x:c r="G19" s="99"/>
      <x:c r="H19" s="99"/>
      <x:c r="I19" s="99" t="str">
        <x:v>I</x:v>
      </x:c>
      <x:c r="J19" s="99"/>
      <x:c r="K19" s="99"/>
      <x:c r="L19" s="99"/>
      <x:c r="M19" s="99"/>
      <x:c r="N19" s="99"/>
      <x:c r="O19" s="60" t="n">
        <x:f>COUNTA(E19:N19)</x:f>
        <x:v>2</x:v>
      </x:c>
    </x:row>
    <x:row r="20">
      <x:c r="A20" s="58" t="str">
        <x:v>STI-312</x:v>
      </x:c>
      <x:c r="B20" s="73" t="str">
        <x:v>Pemrograman Web (+P)</x:v>
      </x:c>
      <x:c r="C20" s="59" t="n">
        <x:v>3</x:v>
      </x:c>
      <x:c r="D20" s="59" t="n">
        <x:v>3</x:v>
      </x:c>
      <x:c r="E20" s="99"/>
      <x:c r="F20" s="99" t="str">
        <x:v>R</x:v>
      </x:c>
      <x:c r="G20" s="99"/>
      <x:c r="H20" s="99" t="str">
        <x:v>R</x:v>
      </x:c>
      <x:c r="I20" s="99"/>
      <x:c r="J20" s="99"/>
      <x:c r="K20" s="99"/>
      <x:c r="L20" s="99"/>
      <x:c r="M20" s="99"/>
      <x:c r="N20" s="99"/>
      <x:c r="O20" s="60" t="n">
        <x:f>COUNTA(E20:N20)</x:f>
        <x:v>2</x:v>
      </x:c>
    </x:row>
    <x:row r="21">
      <x:c r="A21" s="58" t="str">
        <x:v>STI-313</x:v>
      </x:c>
      <x:c r="B21" s="73" t="str">
        <x:v>Keamanan Informasi Dasar</x:v>
      </x:c>
      <x:c r="C21" s="59" t="n">
        <x:v>2</x:v>
      </x:c>
      <x:c r="D21" s="59" t="n">
        <x:v>3</x:v>
      </x:c>
      <x:c r="E21" s="99"/>
      <x:c r="F21" s="99"/>
      <x:c r="G21" s="99"/>
      <x:c r="H21" s="99"/>
      <x:c r="I21" s="99" t="str">
        <x:v>I</x:v>
      </x:c>
      <x:c r="J21" s="99"/>
      <x:c r="K21" s="99" t="str">
        <x:v>R</x:v>
      </x:c>
      <x:c r="L21" s="99"/>
      <x:c r="M21" s="99"/>
      <x:c r="N21" s="99"/>
      <x:c r="O21" s="60" t="n">
        <x:f>COUNTA(E21:N21)</x:f>
        <x:v>2</x:v>
      </x:c>
    </x:row>
    <x:row r="22">
      <x:c r="A22" s="58" t="str">
        <x:v>STI-314</x:v>
      </x:c>
      <x:c r="B22" s="73" t="str">
        <x:v>Interaksi Manusia dan Komputer</x:v>
      </x:c>
      <x:c r="C22" s="59" t="n">
        <x:v>3</x:v>
      </x:c>
      <x:c r="D22" s="59" t="n">
        <x:v>3</x:v>
      </x:c>
      <x:c r="E22" s="99"/>
      <x:c r="F22" s="99"/>
      <x:c r="G22" s="99"/>
      <x:c r="H22" s="99" t="str">
        <x:v>R</x:v>
      </x:c>
      <x:c r="I22" s="99"/>
      <x:c r="J22" s="99"/>
      <x:c r="K22" s="99"/>
      <x:c r="L22" s="99"/>
      <x:c r="M22" s="99"/>
      <x:c r="N22" s="99" t="str">
        <x:v>R</x:v>
      </x:c>
      <x:c r="O22" s="60" t="n">
        <x:f>COUNTA(E22:N22)</x:f>
        <x:v>2</x:v>
      </x:c>
    </x:row>
    <x:row r="23">
      <x:c r="A23" s="58" t="str">
        <x:v>STI-315</x:v>
      </x:c>
      <x:c r="B23" s="73" t="str">
        <x:v>Etika dan Hukum TI</x:v>
      </x:c>
      <x:c r="C23" s="59" t="n">
        <x:v>2</x:v>
      </x:c>
      <x:c r="D23" s="59" t="n">
        <x:v>3</x:v>
      </x:c>
      <x:c r="E23" s="99"/>
      <x:c r="F23" s="99"/>
      <x:c r="G23" s="99"/>
      <x:c r="H23" s="99"/>
      <x:c r="I23" s="99"/>
      <x:c r="J23" s="99"/>
      <x:c r="K23" s="99" t="str">
        <x:v>R</x:v>
      </x:c>
      <x:c r="L23" s="99"/>
      <x:c r="M23" s="99"/>
      <x:c r="N23" s="99" t="str">
        <x:v>R</x:v>
      </x:c>
      <x:c r="O23" s="60" t="n">
        <x:f>COUNTA(E23:N23)</x:f>
        <x:v>2</x:v>
      </x:c>
    </x:row>
    <x:row r="24">
      <x:c r="A24" s="58" t="str">
        <x:v>STI-316</x:v>
      </x:c>
      <x:c r="B24" s="73" t="str">
        <x:v>Multimedia Interaktif</x:v>
      </x:c>
      <x:c r="C24" s="59" t="n">
        <x:v>2</x:v>
      </x:c>
      <x:c r="D24" s="59" t="n">
        <x:v>3</x:v>
      </x:c>
      <x:c r="E24" s="99"/>
      <x:c r="F24" s="99"/>
      <x:c r="G24" s="99"/>
      <x:c r="H24" s="99" t="str">
        <x:v>R</x:v>
      </x:c>
      <x:c r="I24" s="99" t="str">
        <x:v>I</x:v>
      </x:c>
      <x:c r="J24" s="99"/>
      <x:c r="K24" s="99"/>
      <x:c r="L24" s="99"/>
      <x:c r="M24" s="99"/>
      <x:c r="N24" s="99"/>
      <x:c r="O24" s="60" t="n">
        <x:f>COUNTA(E24:N24)</x:f>
        <x:v>2</x:v>
      </x:c>
    </x:row>
    <x:row r="25">
      <x:c r="A25" s="58" t="str">
        <x:v>STI-317</x:v>
      </x:c>
      <x:c r="B25" s="73" t="str">
        <x:v>Metode Komputasi dan Numerik</x:v>
      </x:c>
      <x:c r="C25" s="59" t="n">
        <x:v>2</x:v>
      </x:c>
      <x:c r="D25" s="59" t="n">
        <x:v>3</x:v>
      </x:c>
      <x:c r="E25" s="99"/>
      <x:c r="F25" s="99"/>
      <x:c r="G25" s="99" t="str">
        <x:v>R</x:v>
      </x:c>
      <x:c r="H25" s="99"/>
      <x:c r="I25" s="99"/>
      <x:c r="J25" s="99"/>
      <x:c r="K25" s="99"/>
      <x:c r="L25" s="99"/>
      <x:c r="M25" s="99" t="str">
        <x:v>R</x:v>
      </x:c>
      <x:c r="N25" s="99"/>
      <x:c r="O25" s="60" t="n">
        <x:f>COUNTA(E25:N25)</x:f>
        <x:v>2</x:v>
      </x:c>
    </x:row>
    <x:row r="26">
      <x:c r="A26" s="58" t="str">
        <x:v>MKU-405</x:v>
      </x:c>
      <x:c r="B26" s="73" t="str">
        <x:v>Kewarganegaraan</x:v>
      </x:c>
      <x:c r="C26" s="59" t="n">
        <x:v>2</x:v>
      </x:c>
      <x:c r="D26" s="59" t="n">
        <x:v>4</x:v>
      </x:c>
      <x:c r="E26" s="99"/>
      <x:c r="F26" s="99"/>
      <x:c r="G26" s="99"/>
      <x:c r="H26" s="99"/>
      <x:c r="I26" s="99"/>
      <x:c r="J26" s="99"/>
      <x:c r="K26" s="99" t="str">
        <x:v>R</x:v>
      </x:c>
      <x:c r="L26" s="99"/>
      <x:c r="M26" s="99"/>
      <x:c r="N26" s="99" t="str">
        <x:v>R</x:v>
      </x:c>
      <x:c r="O26" s="60" t="n">
        <x:f>COUNTA(E26:N26)</x:f>
        <x:v>2</x:v>
      </x:c>
    </x:row>
    <x:row r="27">
      <x:c r="A27" s="58" t="str">
        <x:v>MKU-406</x:v>
      </x:c>
      <x:c r="B27" s="73" t="str">
        <x:v>Agama II</x:v>
      </x:c>
      <x:c r="C27" s="59" t="n">
        <x:v>0</x:v>
      </x:c>
      <x:c r="D27" s="59" t="n">
        <x:v>4</x:v>
      </x:c>
      <x:c r="E27" s="99"/>
      <x:c r="F27" s="99"/>
      <x:c r="G27" s="99"/>
      <x:c r="H27" s="99"/>
      <x:c r="I27" s="99"/>
      <x:c r="J27" s="99"/>
      <x:c r="K27" s="99"/>
      <x:c r="L27" s="99"/>
      <x:c r="M27" s="99"/>
      <x:c r="N27" s="99" t="str">
        <x:v>R</x:v>
      </x:c>
      <x:c r="O27" s="60" t="n">
        <x:f>COUNTA(E27:N27)</x:f>
        <x:v>1</x:v>
      </x:c>
    </x:row>
    <x:row r="28">
      <x:c r="A28" s="58" t="str">
        <x:v>STI-418</x:v>
      </x:c>
      <x:c r="B28" s="73" t="str">
        <x:v>Sistem Cerdas</x:v>
      </x:c>
      <x:c r="C28" s="59" t="n">
        <x:v>2</x:v>
      </x:c>
      <x:c r="D28" s="59" t="n">
        <x:v>4</x:v>
      </x:c>
      <x:c r="E28" s="99"/>
      <x:c r="F28" s="99"/>
      <x:c r="G28" s="99" t="str">
        <x:v>R</x:v>
      </x:c>
      <x:c r="H28" s="99"/>
      <x:c r="I28" s="99"/>
      <x:c r="J28" s="99"/>
      <x:c r="K28" s="99"/>
      <x:c r="L28" s="99"/>
      <x:c r="M28" s="99" t="str">
        <x:v>R</x:v>
      </x:c>
      <x:c r="N28" s="99"/>
      <x:c r="O28" s="60" t="n">
        <x:f>COUNTA(E28:N28)</x:f>
        <x:v>2</x:v>
      </x:c>
    </x:row>
    <x:row r="29">
      <x:c r="A29" s="58" t="str">
        <x:v>STI-419</x:v>
      </x:c>
      <x:c r="B29" s="73" t="str">
        <x:v>Mobile Application Development (+P)</x:v>
      </x:c>
      <x:c r="C29" s="59" t="n">
        <x:v>3</x:v>
      </x:c>
      <x:c r="D29" s="59" t="n">
        <x:v>4</x:v>
      </x:c>
      <x:c r="E29" s="99"/>
      <x:c r="F29" s="99" t="str">
        <x:v>R</x:v>
      </x:c>
      <x:c r="G29" s="99"/>
      <x:c r="H29" s="99" t="str">
        <x:v>R</x:v>
      </x:c>
      <x:c r="I29" s="99"/>
      <x:c r="J29" s="99"/>
      <x:c r="K29" s="99"/>
      <x:c r="L29" s="99"/>
      <x:c r="M29" s="99"/>
      <x:c r="N29" s="99"/>
      <x:c r="O29" s="60" t="n">
        <x:f>COUNTA(E29:N29)</x:f>
        <x:v>2</x:v>
      </x:c>
    </x:row>
    <x:row r="30">
      <x:c r="A30" s="58" t="str">
        <x:v>STI-420</x:v>
      </x:c>
      <x:c r="B30" s="73" t="str">
        <x:v>Semantic Web dan Ontologi</x:v>
      </x:c>
      <x:c r="C30" s="59" t="n">
        <x:v>2</x:v>
      </x:c>
      <x:c r="D30" s="59" t="n">
        <x:v>4</x:v>
      </x:c>
      <x:c r="E30" s="99"/>
      <x:c r="F30" s="99"/>
      <x:c r="G30" s="99"/>
      <x:c r="H30" s="99"/>
      <x:c r="I30" s="99"/>
      <x:c r="J30" s="99" t="str">
        <x:v>R</x:v>
      </x:c>
      <x:c r="K30" s="99"/>
      <x:c r="L30" s="99"/>
      <x:c r="M30" s="99"/>
      <x:c r="N30" s="99"/>
      <x:c r="O30" s="60" t="n">
        <x:f>COUNTA(E30:N30)</x:f>
        <x:v>1</x:v>
      </x:c>
    </x:row>
    <x:row r="31">
      <x:c r="A31" s="58" t="str">
        <x:v>STI-421</x:v>
      </x:c>
      <x:c r="B31" s="73" t="str">
        <x:v>Manajemen Proyek TI</x:v>
      </x:c>
      <x:c r="C31" s="59" t="n">
        <x:v>2</x:v>
      </x:c>
      <x:c r="D31" s="59" t="n">
        <x:v>4</x:v>
      </x:c>
      <x:c r="E31" s="99"/>
      <x:c r="F31" s="99"/>
      <x:c r="G31" s="99"/>
      <x:c r="H31" s="99"/>
      <x:c r="I31" s="99"/>
      <x:c r="J31" s="99"/>
      <x:c r="K31" s="99"/>
      <x:c r="L31" s="99" t="str">
        <x:v>R</x:v>
      </x:c>
      <x:c r="M31" s="99"/>
      <x:c r="N31" s="99" t="str">
        <x:v>R</x:v>
      </x:c>
      <x:c r="O31" s="60" t="n">
        <x:f>COUNTA(E31:N31)</x:f>
        <x:v>2</x:v>
      </x:c>
    </x:row>
    <x:row r="32">
      <x:c r="A32" s="58" t="str">
        <x:v>STI-422</x:v>
      </x:c>
      <x:c r="B32" s="73" t="str">
        <x:v>E-Commerce dan Digital Business</x:v>
      </x:c>
      <x:c r="C32" s="59" t="n">
        <x:v>3</x:v>
      </x:c>
      <x:c r="D32" s="59" t="n">
        <x:v>4</x:v>
      </x:c>
      <x:c r="E32" s="99"/>
      <x:c r="F32" s="99"/>
      <x:c r="G32" s="99"/>
      <x:c r="H32" s="99"/>
      <x:c r="I32" s="99"/>
      <x:c r="J32" s="99"/>
      <x:c r="K32" s="99" t="str">
        <x:v>R</x:v>
      </x:c>
      <x:c r="L32" s="99" t="str">
        <x:v>R</x:v>
      </x:c>
      <x:c r="M32" s="99"/>
      <x:c r="N32" s="99"/>
      <x:c r="O32" s="60" t="n">
        <x:f>COUNTA(E32:N32)</x:f>
        <x:v>2</x:v>
      </x:c>
    </x:row>
    <x:row r="33">
      <x:c r="A33" s="58" t="str">
        <x:v>STI-423</x:v>
      </x:c>
      <x:c r="B33" s="73" t="str">
        <x:v>Game Design dan Gamifikasi Sosial (+P)</x:v>
      </x:c>
      <x:c r="C33" s="59" t="n">
        <x:v>3</x:v>
      </x:c>
      <x:c r="D33" s="59" t="n">
        <x:v>4</x:v>
      </x:c>
      <x:c r="E33" s="99"/>
      <x:c r="F33" s="99"/>
      <x:c r="G33" s="99"/>
      <x:c r="H33" s="99" t="str">
        <x:v>R</x:v>
      </x:c>
      <x:c r="I33" s="99"/>
      <x:c r="J33" s="99"/>
      <x:c r="K33" s="99"/>
      <x:c r="L33" s="99" t="str">
        <x:v>R</x:v>
      </x:c>
      <x:c r="M33" s="99"/>
      <x:c r="N33" s="99"/>
      <x:c r="O33" s="60" t="n">
        <x:f>COUNTA(E33:N33)</x:f>
        <x:v>2</x:v>
      </x:c>
    </x:row>
    <x:row r="34">
      <x:c r="A34" s="58" t="str">
        <x:v>STI-424</x:v>
      </x:c>
      <x:c r="B34" s="73" t="str">
        <x:v>Probabilitas dan Statistika</x:v>
      </x:c>
      <x:c r="C34" s="59" t="n">
        <x:v>3</x:v>
      </x:c>
      <x:c r="D34" s="59" t="n">
        <x:v>4</x:v>
      </x:c>
      <x:c r="E34" s="99"/>
      <x:c r="F34" s="99"/>
      <x:c r="G34" s="99" t="str">
        <x:v>R</x:v>
      </x:c>
      <x:c r="H34" s="99"/>
      <x:c r="I34" s="99"/>
      <x:c r="J34" s="99"/>
      <x:c r="K34" s="99"/>
      <x:c r="L34" s="99"/>
      <x:c r="M34" s="99" t="str">
        <x:v>R</x:v>
      </x:c>
      <x:c r="N34" s="99"/>
      <x:c r="O34" s="60" t="n">
        <x:f>COUNTA(E34:N34)</x:f>
        <x:v>2</x:v>
      </x:c>
    </x:row>
    <x:row r="35">
      <x:c r="A35" s="58" t="str">
        <x:v>MKU-507</x:v>
      </x:c>
      <x:c r="B35" s="73" t="str">
        <x:v>Kuliah Pengabdian Kepada Masyarakat</x:v>
      </x:c>
      <x:c r="C35" s="59" t="n">
        <x:v>3</x:v>
      </x:c>
      <x:c r="D35" s="59" t="n">
        <x:v>5</x:v>
      </x:c>
      <x:c r="E35" s="99"/>
      <x:c r="F35" s="99"/>
      <x:c r="G35" s="99"/>
      <x:c r="H35" s="99"/>
      <x:c r="I35" s="99"/>
      <x:c r="J35" s="99"/>
      <x:c r="K35" s="99"/>
      <x:c r="L35" s="99" t="str">
        <x:v>R</x:v>
      </x:c>
      <x:c r="M35" s="99"/>
      <x:c r="N35" s="99" t="str">
        <x:v>R</x:v>
      </x:c>
      <x:c r="O35" s="60" t="n">
        <x:f>COUNTA(E35:N35)</x:f>
        <x:v>2</x:v>
      </x:c>
    </x:row>
    <x:row r="36">
      <x:c r="A36" s="58" t="str">
        <x:v>MKU-508</x:v>
      </x:c>
      <x:c r="B36" s="73" t="str">
        <x:v>Kewirausahaan II</x:v>
      </x:c>
      <x:c r="C36" s="59" t="n">
        <x:v>0</x:v>
      </x:c>
      <x:c r="D36" s="59" t="n">
        <x:v>5</x:v>
      </x:c>
      <x:c r="E36" s="99"/>
      <x:c r="F36" s="99"/>
      <x:c r="G36" s="99"/>
      <x:c r="H36" s="99"/>
      <x:c r="I36" s="99"/>
      <x:c r="J36" s="99"/>
      <x:c r="K36" s="99"/>
      <x:c r="L36" s="99" t="str">
        <x:v>R</x:v>
      </x:c>
      <x:c r="M36" s="99"/>
      <x:c r="N36" s="99" t="str">
        <x:v>R</x:v>
      </x:c>
      <x:c r="O36" s="60" t="n">
        <x:f>COUNTA(E36:N36)</x:f>
        <x:v>2</x:v>
      </x:c>
    </x:row>
    <x:row r="37">
      <x:c r="A37" s="58" t="str">
        <x:v>STI-525</x:v>
      </x:c>
      <x:c r="B37" s="73" t="str">
        <x:v>Pemrograman Lanjut dan API (+P)</x:v>
      </x:c>
      <x:c r="C37" s="59" t="n">
        <x:v>3</x:v>
      </x:c>
      <x:c r="D37" s="59" t="n">
        <x:v>5</x:v>
      </x:c>
      <x:c r="E37" s="99"/>
      <x:c r="F37" s="99" t="str">
        <x:v>R</x:v>
      </x:c>
      <x:c r="G37" s="99"/>
      <x:c r="H37" s="99"/>
      <x:c r="I37" s="99" t="str">
        <x:v>R</x:v>
      </x:c>
      <x:c r="J37" s="99"/>
      <x:c r="K37" s="99"/>
      <x:c r="L37" s="99"/>
      <x:c r="M37" s="99"/>
      <x:c r="N37" s="99"/>
      <x:c r="O37" s="60" t="n">
        <x:f>COUNTA(E37:N37)</x:f>
        <x:v>2</x:v>
      </x:c>
    </x:row>
    <x:row r="38">
      <x:c r="A38" s="58" t="str">
        <x:v>STI-526</x:v>
      </x:c>
      <x:c r="B38" s="73" t="str">
        <x:v>Internet of Things (+P)</x:v>
      </x:c>
      <x:c r="C38" s="59" t="n">
        <x:v>3</x:v>
      </x:c>
      <x:c r="D38" s="59" t="n">
        <x:v>5</x:v>
      </x:c>
      <x:c r="E38" s="99"/>
      <x:c r="F38" s="99" t="str">
        <x:v>R</x:v>
      </x:c>
      <x:c r="G38" s="99"/>
      <x:c r="H38" s="99"/>
      <x:c r="I38" s="99" t="str">
        <x:v>R</x:v>
      </x:c>
      <x:c r="J38" s="99"/>
      <x:c r="K38" s="99"/>
      <x:c r="L38" s="99"/>
      <x:c r="M38" s="99"/>
      <x:c r="N38" s="99"/>
      <x:c r="O38" s="60" t="n">
        <x:f>COUNTA(E38:N38)</x:f>
        <x:v>2</x:v>
      </x:c>
    </x:row>
    <x:row r="39">
      <x:c r="A39" s="58" t="str">
        <x:v>STI-527</x:v>
      </x:c>
      <x:c r="B39" s="73" t="str">
        <x:v>Sistem Informasi Berbasis Cloud</x:v>
      </x:c>
      <x:c r="C39" s="59" t="n">
        <x:v>2</x:v>
      </x:c>
      <x:c r="D39" s="59" t="n">
        <x:v>5</x:v>
      </x:c>
      <x:c r="E39" s="99"/>
      <x:c r="F39" s="99" t="str">
        <x:v>R</x:v>
      </x:c>
      <x:c r="G39" s="99"/>
      <x:c r="H39" s="99"/>
      <x:c r="I39" s="99" t="str">
        <x:v>R</x:v>
      </x:c>
      <x:c r="J39" s="99"/>
      <x:c r="K39" s="99" t="str">
        <x:v>R</x:v>
      </x:c>
      <x:c r="L39" s="99"/>
      <x:c r="M39" s="99"/>
      <x:c r="N39" s="99"/>
      <x:c r="O39" s="60" t="n">
        <x:f>COUNTA(E39:N39)</x:f>
        <x:v>3</x:v>
      </x:c>
    </x:row>
    <x:row r="40">
      <x:c r="A40" s="58" t="str">
        <x:v>STI-528</x:v>
      </x:c>
      <x:c r="B40" s="73" t="str">
        <x:v>Text Mining dan NLP</x:v>
      </x:c>
      <x:c r="C40" s="59" t="n">
        <x:v>2</x:v>
      </x:c>
      <x:c r="D40" s="59" t="n">
        <x:v>5</x:v>
      </x:c>
      <x:c r="E40" s="99"/>
      <x:c r="F40" s="99"/>
      <x:c r="G40" s="99" t="str">
        <x:v>R</x:v>
      </x:c>
      <x:c r="H40" s="99"/>
      <x:c r="I40" s="99"/>
      <x:c r="J40" s="99" t="str">
        <x:v>R</x:v>
      </x:c>
      <x:c r="K40" s="99"/>
      <x:c r="L40" s="99"/>
      <x:c r="M40" s="99"/>
      <x:c r="N40" s="99"/>
      <x:c r="O40" s="60" t="n">
        <x:f>COUNTA(E40:N40)</x:f>
        <x:v>2</x:v>
      </x:c>
    </x:row>
    <x:row r="41">
      <x:c r="A41" s="58" t="str">
        <x:v>STI-529</x:v>
      </x:c>
      <x:c r="B41" s="73" t="str">
        <x:v>Keamanan Jaringan dan Forensik Digital (+P)</x:v>
      </x:c>
      <x:c r="C41" s="59" t="n">
        <x:v>3</x:v>
      </x:c>
      <x:c r="D41" s="59" t="n">
        <x:v>5</x:v>
      </x:c>
      <x:c r="E41" s="99"/>
      <x:c r="F41" s="99"/>
      <x:c r="G41" s="99"/>
      <x:c r="H41" s="99"/>
      <x:c r="I41" s="99" t="str">
        <x:v>R</x:v>
      </x:c>
      <x:c r="J41" s="99"/>
      <x:c r="K41" s="99" t="str">
        <x:v>R</x:v>
      </x:c>
      <x:c r="L41" s="99"/>
      <x:c r="M41" s="99"/>
      <x:c r="N41" s="99"/>
      <x:c r="O41" s="60" t="n">
        <x:f>COUNTA(E41:N41)</x:f>
        <x:v>2</x:v>
      </x:c>
    </x:row>
    <x:row r="42">
      <x:c r="A42" s="58" t="str">
        <x:v>STI-530</x:v>
      </x:c>
      <x:c r="B42" s="73" t="str">
        <x:v>Data Warehouse dan Business Intelligence (+P)</x:v>
      </x:c>
      <x:c r="C42" s="59" t="n">
        <x:v>3</x:v>
      </x:c>
      <x:c r="D42" s="59" t="n">
        <x:v>5</x:v>
      </x:c>
      <x:c r="E42" s="99"/>
      <x:c r="F42" s="99"/>
      <x:c r="G42" s="99" t="str">
        <x:v>R</x:v>
      </x:c>
      <x:c r="H42" s="99"/>
      <x:c r="I42" s="99"/>
      <x:c r="J42" s="99" t="str">
        <x:v>R</x:v>
      </x:c>
      <x:c r="K42" s="99" t="str">
        <x:v>R</x:v>
      </x:c>
      <x:c r="L42" s="99"/>
      <x:c r="M42" s="99"/>
      <x:c r="N42" s="99"/>
      <x:c r="O42" s="60" t="n">
        <x:f>COUNTA(E42:N42)</x:f>
        <x:v>3</x:v>
      </x:c>
    </x:row>
    <x:row r="43">
      <x:c r="A43" s="58" t="str">
        <x:v>STI-531</x:v>
      </x:c>
      <x:c r="B43" s="73" t="str">
        <x:v>Augmented Reality dan Virtual Reality (+P)</x:v>
      </x:c>
      <x:c r="C43" s="59" t="n">
        <x:v>2</x:v>
      </x:c>
      <x:c r="D43" s="59" t="n">
        <x:v>5</x:v>
      </x:c>
      <x:c r="E43" s="99"/>
      <x:c r="F43" s="99"/>
      <x:c r="G43" s="99"/>
      <x:c r="H43" s="99" t="str">
        <x:v>R</x:v>
      </x:c>
      <x:c r="I43" s="99" t="str">
        <x:v>R</x:v>
      </x:c>
      <x:c r="J43" s="99"/>
      <x:c r="K43" s="99"/>
      <x:c r="L43" s="99"/>
      <x:c r="M43" s="99"/>
      <x:c r="N43" s="99"/>
      <x:c r="O43" s="60" t="n">
        <x:f>COUNTA(E43:N43)</x:f>
        <x:v>2</x:v>
      </x:c>
    </x:row>
    <x:row r="44">
      <x:c r="A44" s="58" t="str">
        <x:v>STI-632</x:v>
      </x:c>
      <x:c r="B44" s="73" t="str">
        <x:v>Rekayasa Perangkat Lunak</x:v>
      </x:c>
      <x:c r="C44" s="59" t="n">
        <x:v>3</x:v>
      </x:c>
      <x:c r="D44" s="59" t="n">
        <x:v>6</x:v>
      </x:c>
      <x:c r="E44" s="99" t="str">
        <x:v>R</x:v>
      </x:c>
      <x:c r="F44" s="99" t="str">
        <x:v>R</x:v>
      </x:c>
      <x:c r="G44" s="99"/>
      <x:c r="H44" s="99"/>
      <x:c r="I44" s="99"/>
      <x:c r="J44" s="99"/>
      <x:c r="K44" s="99"/>
      <x:c r="L44" s="99" t="str">
        <x:v>R</x:v>
      </x:c>
      <x:c r="M44" s="99"/>
      <x:c r="N44" s="99" t="str">
        <x:v>R</x:v>
      </x:c>
      <x:c r="O44" s="60" t="n">
        <x:f>COUNTA(E44:N44)</x:f>
        <x:v>4</x:v>
      </x:c>
    </x:row>
    <x:row r="45">
      <x:c r="A45" s="58" t="str">
        <x:v>STI-633</x:v>
      </x:c>
      <x:c r="B45" s="73" t="str">
        <x:v>Sistem Pendukung Keputusan</x:v>
      </x:c>
      <x:c r="C45" s="59" t="n">
        <x:v>3</x:v>
      </x:c>
      <x:c r="D45" s="59" t="n">
        <x:v>6</x:v>
      </x:c>
      <x:c r="E45" s="99" t="str">
        <x:v>R</x:v>
      </x:c>
      <x:c r="F45" s="99"/>
      <x:c r="G45" s="99" t="str">
        <x:v>R</x:v>
      </x:c>
      <x:c r="H45" s="99"/>
      <x:c r="I45" s="99"/>
      <x:c r="J45" s="99" t="str">
        <x:v>R</x:v>
      </x:c>
      <x:c r="K45" s="99"/>
      <x:c r="L45" s="99"/>
      <x:c r="M45" s="99"/>
      <x:c r="N45" s="99"/>
      <x:c r="O45" s="60" t="n">
        <x:f>COUNTA(E45:N45)</x:f>
        <x:v>3</x:v>
      </x:c>
    </x:row>
    <x:row r="46">
      <x:c r="A46" s="58" t="str">
        <x:v>STI-634</x:v>
      </x:c>
      <x:c r="B46" s="73" t="str">
        <x:v>Pengolahan Citra Digital dan Vision (+P)</x:v>
      </x:c>
      <x:c r="C46" s="59" t="n">
        <x:v>3</x:v>
      </x:c>
      <x:c r="D46" s="59" t="n">
        <x:v>6</x:v>
      </x:c>
      <x:c r="E46" s="99"/>
      <x:c r="F46" s="99"/>
      <x:c r="G46" s="99" t="str">
        <x:v>R</x:v>
      </x:c>
      <x:c r="H46" s="99"/>
      <x:c r="I46" s="99" t="str">
        <x:v>R</x:v>
      </x:c>
      <x:c r="J46" s="99"/>
      <x:c r="K46" s="99"/>
      <x:c r="L46" s="99"/>
      <x:c r="M46" s="99"/>
      <x:c r="N46" s="99"/>
      <x:c r="O46" s="60" t="n">
        <x:f>COUNTA(E46:N46)</x:f>
        <x:v>2</x:v>
      </x:c>
    </x:row>
    <x:row r="47">
      <x:c r="A47" s="58" t="str">
        <x:v>STI-635</x:v>
      </x:c>
      <x:c r="B47" s="73" t="str">
        <x:v>Desain dan Evaluasi Antarmuka Pengguna (UI/UX) (+P)</x:v>
      </x:c>
      <x:c r="C47" s="59" t="n">
        <x:v>3</x:v>
      </x:c>
      <x:c r="D47" s="59" t="n">
        <x:v>6</x:v>
      </x:c>
      <x:c r="E47" s="99"/>
      <x:c r="F47" s="99"/>
      <x:c r="G47" s="99"/>
      <x:c r="H47" s="99" t="str">
        <x:v>R</x:v>
      </x:c>
      <x:c r="I47" s="99"/>
      <x:c r="J47" s="99"/>
      <x:c r="K47" s="99"/>
      <x:c r="L47" s="99"/>
      <x:c r="M47" s="99" t="str">
        <x:v>R</x:v>
      </x:c>
      <x:c r="N47" s="99" t="str">
        <x:v>R</x:v>
      </x:c>
      <x:c r="O47" s="60" t="n">
        <x:f>COUNTA(E47:N47)</x:f>
        <x:v>3</x:v>
      </x:c>
    </x:row>
    <x:row r="48">
      <x:c r="A48" s="58" t="str">
        <x:v>STI-636</x:v>
      </x:c>
      <x:c r="B48" s="73" t="str">
        <x:v>Machine Learning (+P)</x:v>
      </x:c>
      <x:c r="C48" s="59" t="n">
        <x:v>3</x:v>
      </x:c>
      <x:c r="D48" s="59" t="n">
        <x:v>6</x:v>
      </x:c>
      <x:c r="E48" s="99"/>
      <x:c r="F48" s="99"/>
      <x:c r="G48" s="99" t="str">
        <x:v>R</x:v>
      </x:c>
      <x:c r="H48" s="99"/>
      <x:c r="I48" s="99"/>
      <x:c r="J48" s="99"/>
      <x:c r="K48" s="99"/>
      <x:c r="L48" s="99"/>
      <x:c r="M48" s="99" t="str">
        <x:v>R</x:v>
      </x:c>
      <x:c r="N48" s="99"/>
      <x:c r="O48" s="60" t="n">
        <x:f>COUNTA(E48:N48)</x:f>
        <x:v>2</x:v>
      </x:c>
    </x:row>
    <x:row r="49">
      <x:c r="A49" s="58" t="str">
        <x:v>STI-637</x:v>
      </x:c>
      <x:c r="B49" s="73" t="str">
        <x:v>Smart City dan Sistem Pemerintahan Digital</x:v>
      </x:c>
      <x:c r="C49" s="59" t="n">
        <x:v>3</x:v>
      </x:c>
      <x:c r="D49" s="59" t="n">
        <x:v>6</x:v>
      </x:c>
      <x:c r="E49" s="99" t="str">
        <x:v>R</x:v>
      </x:c>
      <x:c r="F49" s="99"/>
      <x:c r="G49" s="99"/>
      <x:c r="H49" s="99"/>
      <x:c r="I49" s="99"/>
      <x:c r="J49" s="99"/>
      <x:c r="K49" s="99" t="str">
        <x:v>R</x:v>
      </x:c>
      <x:c r="L49" s="99" t="str">
        <x:v>R</x:v>
      </x:c>
      <x:c r="M49" s="99"/>
      <x:c r="N49" s="99"/>
      <x:c r="O49" s="60" t="n">
        <x:f>COUNTA(E49:N49)</x:f>
        <x:v>3</x:v>
      </x:c>
    </x:row>
    <x:row r="50">
      <x:c r="A50" s="58" t="str">
        <x:v>STI-638</x:v>
      </x:c>
      <x:c r="B50" s="73" t="str">
        <x:v>Intelligent Signal Processing</x:v>
      </x:c>
      <x:c r="C50" s="59" t="n">
        <x:v>3</x:v>
      </x:c>
      <x:c r="D50" s="59" t="n">
        <x:v>6</x:v>
      </x:c>
      <x:c r="E50" s="99"/>
      <x:c r="F50" s="99"/>
      <x:c r="G50" s="99" t="str">
        <x:v>R</x:v>
      </x:c>
      <x:c r="H50" s="99"/>
      <x:c r="I50" s="99" t="str">
        <x:v>R</x:v>
      </x:c>
      <x:c r="J50" s="99"/>
      <x:c r="K50" s="99"/>
      <x:c r="L50" s="99"/>
      <x:c r="M50" s="99" t="str">
        <x:v>R</x:v>
      </x:c>
      <x:c r="N50" s="99"/>
      <x:c r="O50" s="60" t="n">
        <x:f>COUNTA(E50:N50)</x:f>
        <x:v>3</x:v>
      </x:c>
    </x:row>
    <x:row r="51">
      <x:c r="A51" s="58" t="str">
        <x:v>MFT-002</x:v>
      </x:c>
      <x:c r="B51" s="73" t="str">
        <x:v>Metodologi Penelitian</x:v>
      </x:c>
      <x:c r="C51" s="59" t="n">
        <x:v>2</x:v>
      </x:c>
      <x:c r="D51" s="59" t="n">
        <x:v>7</x:v>
      </x:c>
      <x:c r="E51" s="99"/>
      <x:c r="F51" s="99"/>
      <x:c r="G51" s="99"/>
      <x:c r="H51" s="99"/>
      <x:c r="I51" s="99"/>
      <x:c r="J51" s="99"/>
      <x:c r="K51" s="99"/>
      <x:c r="L51" s="99"/>
      <x:c r="M51" s="99" t="str">
        <x:v>R</x:v>
      </x:c>
      <x:c r="N51" s="99" t="str">
        <x:v>R</x:v>
      </x:c>
      <x:c r="O51" s="60" t="n">
        <x:f>COUNTA(E51:N51)</x:f>
        <x:v>2</x:v>
      </x:c>
    </x:row>
    <x:row r="52">
      <x:c r="A52" s="58" t="str">
        <x:v>MFT-003</x:v>
      </x:c>
      <x:c r="B52" s="73" t="str">
        <x:v>Praktik Kerja Lapangan</x:v>
      </x:c>
      <x:c r="C52" s="59" t="n">
        <x:v>3</x:v>
      </x:c>
      <x:c r="D52" s="59" t="n">
        <x:v>7</x:v>
      </x:c>
      <x:c r="E52" s="99" t="str">
        <x:v>R</x:v>
      </x:c>
      <x:c r="F52" s="99" t="str">
        <x:v>M</x:v>
      </x:c>
      <x:c r="G52" s="99"/>
      <x:c r="H52" s="99"/>
      <x:c r="I52" s="99"/>
      <x:c r="J52" s="99"/>
      <x:c r="K52" s="99"/>
      <x:c r="L52" s="99"/>
      <x:c r="M52" s="99"/>
      <x:c r="N52" s="99" t="str">
        <x:v>R</x:v>
      </x:c>
      <x:c r="O52" s="60" t="n">
        <x:f>COUNTA(E52:N52)</x:f>
        <x:v>3</x:v>
      </x:c>
    </x:row>
    <x:row r="53">
      <x:c r="A53" s="58" t="str">
        <x:v>STI-739</x:v>
      </x:c>
      <x:c r="B53" s="73" t="str">
        <x:v>Platform Literasi dan Edukasi Digital (+P)</x:v>
      </x:c>
      <x:c r="C53" s="59" t="n">
        <x:v>3</x:v>
      </x:c>
      <x:c r="D53" s="59" t="n">
        <x:v>7</x:v>
      </x:c>
      <x:c r="E53" s="99"/>
      <x:c r="F53" s="99"/>
      <x:c r="G53" s="99"/>
      <x:c r="H53" s="99" t="str">
        <x:v>M</x:v>
      </x:c>
      <x:c r="I53" s="99"/>
      <x:c r="J53" s="99"/>
      <x:c r="K53" s="99"/>
      <x:c r="L53" s="99" t="str">
        <x:v>M</x:v>
      </x:c>
      <x:c r="M53" s="99"/>
      <x:c r="N53" s="99" t="str">
        <x:v>R</x:v>
      </x:c>
      <x:c r="O53" s="60" t="n">
        <x:f>COUNTA(E53:N53)</x:f>
        <x:v>3</x:v>
      </x:c>
    </x:row>
    <x:row r="54">
      <x:c r="A54" s="58" t="str">
        <x:v>STI-740</x:v>
      </x:c>
      <x:c r="B54" s="73" t="str">
        <x:v>Penambangan Data dan Visualisasi (+P)</x:v>
      </x:c>
      <x:c r="C54" s="59" t="n">
        <x:v>3</x:v>
      </x:c>
      <x:c r="D54" s="59" t="n">
        <x:v>7</x:v>
      </x:c>
      <x:c r="E54" s="99"/>
      <x:c r="F54" s="99"/>
      <x:c r="G54" s="99" t="str">
        <x:v>M</x:v>
      </x:c>
      <x:c r="H54" s="99" t="str">
        <x:v>M</x:v>
      </x:c>
      <x:c r="I54" s="99"/>
      <x:c r="J54" s="99" t="str">
        <x:v>M</x:v>
      </x:c>
      <x:c r="K54" s="99"/>
      <x:c r="L54" s="99"/>
      <x:c r="M54" s="99"/>
      <x:c r="N54" s="99"/>
      <x:c r="O54" s="60" t="n">
        <x:f>COUNTA(E54:N54)</x:f>
        <x:v>3</x:v>
      </x:c>
    </x:row>
    <x:row r="55">
      <x:c r="A55" s="58" t="str">
        <x:v>STI-741</x:v>
      </x:c>
      <x:c r="B55" s="73" t="str">
        <x:v>Integrasi Layanan Cerdas Berbasis AI</x:v>
      </x:c>
      <x:c r="C55" s="59" t="n">
        <x:v>3</x:v>
      </x:c>
      <x:c r="D55" s="59" t="n">
        <x:v>7</x:v>
      </x:c>
      <x:c r="E55" s="99"/>
      <x:c r="F55" s="99" t="str">
        <x:v>M</x:v>
      </x:c>
      <x:c r="G55" s="99" t="str">
        <x:v>M</x:v>
      </x:c>
      <x:c r="H55" s="99"/>
      <x:c r="I55" s="99" t="str">
        <x:v>M</x:v>
      </x:c>
      <x:c r="J55" s="99" t="str">
        <x:v>M</x:v>
      </x:c>
      <x:c r="K55" s="99"/>
      <x:c r="L55" s="99"/>
      <x:c r="M55" s="99"/>
      <x:c r="N55" s="99"/>
      <x:c r="O55" s="60" t="n">
        <x:f>COUNTA(E55:N55)</x:f>
        <x:v>4</x:v>
      </x:c>
    </x:row>
    <x:row r="56">
      <x:c r="A56" s="58" t="str">
        <x:v>STI-742</x:v>
      </x:c>
      <x:c r="B56" s="73" t="str">
        <x:v>Inovasi Teknologi dan Startup Digital</x:v>
      </x:c>
      <x:c r="C56" s="59" t="n">
        <x:v>3</x:v>
      </x:c>
      <x:c r="D56" s="59" t="n">
        <x:v>7</x:v>
      </x:c>
      <x:c r="E56" s="99"/>
      <x:c r="F56" s="99"/>
      <x:c r="G56" s="99"/>
      <x:c r="H56" s="99"/>
      <x:c r="I56" s="99"/>
      <x:c r="J56" s="99"/>
      <x:c r="K56" s="99"/>
      <x:c r="L56" s="99" t="str">
        <x:v>M</x:v>
      </x:c>
      <x:c r="M56" s="99"/>
      <x:c r="N56" s="99" t="str">
        <x:v>R</x:v>
      </x:c>
      <x:c r="O56" s="60" t="n">
        <x:f>COUNTA(E56:N56)</x:f>
        <x:v>2</x:v>
      </x:c>
    </x:row>
    <x:row r="57">
      <x:c r="A57" s="58" t="str">
        <x:v>STI-743</x:v>
      </x:c>
      <x:c r="B57" s="73" t="str">
        <x:v>Audit dan Tata Kelola Sistem Informasi</x:v>
      </x:c>
      <x:c r="C57" s="59" t="n">
        <x:v>3</x:v>
      </x:c>
      <x:c r="D57" s="59" t="n">
        <x:v>7</x:v>
      </x:c>
      <x:c r="E57" s="99"/>
      <x:c r="F57" s="99"/>
      <x:c r="G57" s="99"/>
      <x:c r="H57" s="99"/>
      <x:c r="I57" s="99"/>
      <x:c r="J57" s="99"/>
      <x:c r="K57" s="99" t="str">
        <x:v>M</x:v>
      </x:c>
      <x:c r="L57" s="99"/>
      <x:c r="M57" s="99" t="str">
        <x:v>R</x:v>
      </x:c>
      <x:c r="N57" s="99" t="str">
        <x:v>R</x:v>
      </x:c>
      <x:c r="O57" s="60" t="n">
        <x:f>COUNTA(E57:N57)</x:f>
        <x:v>3</x:v>
      </x:c>
    </x:row>
    <x:row r="58">
      <x:c r="A58" s="58" t="str">
        <x:v>MFT-004</x:v>
      </x:c>
      <x:c r="B58" s="73" t="str">
        <x:v>Skripsi</x:v>
      </x:c>
      <x:c r="C58" s="59" t="n">
        <x:v>6</x:v>
      </x:c>
      <x:c r="D58" s="59" t="n">
        <x:v>8</x:v>
      </x:c>
      <x:c r="E58" s="99" t="str">
        <x:v>M</x:v>
      </x:c>
      <x:c r="F58" s="99"/>
      <x:c r="G58" s="99"/>
      <x:c r="H58" s="99"/>
      <x:c r="I58" s="99"/>
      <x:c r="J58" s="99"/>
      <x:c r="K58" s="99"/>
      <x:c r="L58" s="99"/>
      <x:c r="M58" s="99" t="str">
        <x:v>M</x:v>
      </x:c>
      <x:c r="N58" s="99" t="str">
        <x:v>M</x:v>
      </x:c>
      <x:c r="O58" s="60" t="n">
        <x:f>COUNTA(E58:N58)</x:f>
        <x:v>3</x:v>
      </x:c>
    </x:row>
    <x:row r="59">
      <x:c r="A59" s="58" t="str">
        <x:v>STI-844</x:v>
      </x:c>
      <x:c r="B59" s="73" t="str">
        <x:v>Pra Skripsi</x:v>
      </x:c>
      <x:c r="C59" s="59" t="n">
        <x:v>2</x:v>
      </x:c>
      <x:c r="D59" s="59" t="n">
        <x:v>8</x:v>
      </x:c>
      <x:c r="E59" s="99"/>
      <x:c r="F59" s="99"/>
      <x:c r="G59" s="99"/>
      <x:c r="H59" s="99"/>
      <x:c r="I59" s="99"/>
      <x:c r="J59" s="99"/>
      <x:c r="K59" s="99"/>
      <x:c r="L59" s="99"/>
      <x:c r="M59" s="99" t="str">
        <x:v>M</x:v>
      </x:c>
      <x:c r="N59" s="99" t="str">
        <x:v>M</x:v>
      </x:c>
      <x:c r="O59" s="60" t="n">
        <x:f>COUNTA(E59:N59)</x:f>
        <x:v>2</x:v>
      </x:c>
    </x:row>
    <x:row r="60">
      <x:c r="A60" s="185" t="str">
        <x:v>Jumlah I</x:v>
      </x:c>
      <x:c r="B60" s="186"/>
      <x:c r="C60" s="186"/>
      <x:c r="D60" s="186"/>
      <x:c r="E60" s="186" t="n">
        <x:f>COUNTIF(E4:E59,"I")</x:f>
        <x:v>1</x:v>
      </x:c>
      <x:c r="F60" s="186" t="n">
        <x:f>COUNTIF(F4:F59,"I")</x:f>
        <x:v>1</x:v>
      </x:c>
      <x:c r="G60" s="186" t="n">
        <x:f>COUNTIF(G4:G59,"I")</x:f>
        <x:v>1</x:v>
      </x:c>
      <x:c r="H60" s="186" t="n">
        <x:f>COUNTIF(H4:H59,"I")</x:f>
        <x:v>1</x:v>
      </x:c>
      <x:c r="I60" s="186" t="n">
        <x:f>COUNTIF(I4:I59,"I")</x:f>
        <x:v>3</x:v>
      </x:c>
      <x:c r="J60" s="186" t="n">
        <x:f>COUNTIF(J4:J59,"I")</x:f>
        <x:v>2</x:v>
      </x:c>
      <x:c r="K60" s="186" t="n">
        <x:f>COUNTIF(K4:K59,"I")</x:f>
        <x:v>2</x:v>
      </x:c>
      <x:c r="L60" s="186" t="n">
        <x:f>COUNTIF(L4:L59,"I")</x:f>
        <x:v>1</x:v>
      </x:c>
      <x:c r="M60" s="186" t="n">
        <x:f>COUNTIF(M4:M59,"I")</x:f>
        <x:v>4</x:v>
      </x:c>
      <x:c r="N60" s="186" t="n">
        <x:f>COUNTIF(N4:N59,"I")</x:f>
        <x:v>3</x:v>
      </x:c>
      <x:c r="O60" s="187"/>
    </x:row>
    <x:row r="61">
      <x:c r="A61" s="188" t="str">
        <x:v>Jumlah R</x:v>
      </x:c>
      <x:c r="B61" s="189"/>
      <x:c r="C61" s="189"/>
      <x:c r="D61" s="189"/>
      <x:c r="E61" s="189" t="n">
        <x:f>COUNTIF(E4:E59,"R")</x:f>
        <x:v>5</x:v>
      </x:c>
      <x:c r="F61" s="189" t="n">
        <x:f>COUNTIF(F4:F59,"R")</x:f>
        <x:v>10</x:v>
      </x:c>
      <x:c r="G61" s="189" t="n">
        <x:f>COUNTIF(G4:G59,"R")</x:f>
        <x:v>9</x:v>
      </x:c>
      <x:c r="H61" s="189" t="n">
        <x:f>COUNTIF(H4:H59,"R")</x:f>
        <x:v>7</x:v>
      </x:c>
      <x:c r="I61" s="189" t="n">
        <x:f>COUNTIF(I4:I59,"R")</x:f>
        <x:v>7</x:v>
      </x:c>
      <x:c r="J61" s="189" t="n">
        <x:f>COUNTIF(J4:J59,"R")</x:f>
        <x:v>4</x:v>
      </x:c>
      <x:c r="K61" s="189" t="n">
        <x:f>COUNTIF(K4:K59,"R")</x:f>
        <x:v>8</x:v>
      </x:c>
      <x:c r="L61" s="189" t="n">
        <x:f>COUNTIF(L4:L59,"R")</x:f>
        <x:v>7</x:v>
      </x:c>
      <x:c r="M61" s="189" t="n">
        <x:f>COUNTIF(M4:M59,"R")</x:f>
        <x:v>11</x:v>
      </x:c>
      <x:c r="N61" s="189" t="n">
        <x:f>COUNTIF(N4:N59,"R")</x:f>
        <x:v>17</x:v>
      </x:c>
      <x:c r="O61" s="190"/>
    </x:row>
    <x:row r="62">
      <x:c r="A62" s="191" t="str">
        <x:v>Jumlah M</x:v>
      </x:c>
      <x:c r="B62" s="192"/>
      <x:c r="C62" s="192"/>
      <x:c r="D62" s="192"/>
      <x:c r="E62" s="192" t="n">
        <x:f>COUNTIF(E4:E59,"M")</x:f>
        <x:v>1</x:v>
      </x:c>
      <x:c r="F62" s="192" t="n">
        <x:f>COUNTIF(F4:F59,"M")</x:f>
        <x:v>2</x:v>
      </x:c>
      <x:c r="G62" s="192" t="n">
        <x:f>COUNTIF(G4:G59,"M")</x:f>
        <x:v>2</x:v>
      </x:c>
      <x:c r="H62" s="192" t="n">
        <x:f>COUNTIF(H4:H59,"M")</x:f>
        <x:v>2</x:v>
      </x:c>
      <x:c r="I62" s="192" t="n">
        <x:f>COUNTIF(I4:I59,"M")</x:f>
        <x:v>1</x:v>
      </x:c>
      <x:c r="J62" s="192" t="n">
        <x:f>COUNTIF(J4:J59,"M")</x:f>
        <x:v>2</x:v>
      </x:c>
      <x:c r="K62" s="192" t="n">
        <x:f>COUNTIF(K4:K59,"M")</x:f>
        <x:v>1</x:v>
      </x:c>
      <x:c r="L62" s="192" t="n">
        <x:f>COUNTIF(L4:L59,"M")</x:f>
        <x:v>2</x:v>
      </x:c>
      <x:c r="M62" s="192" t="n">
        <x:f>COUNTIF(M4:M59,"M")</x:f>
        <x:v>2</x:v>
      </x:c>
      <x:c r="N62" s="192" t="n">
        <x:f>COUNTIF(N4:N59,"M")</x:f>
        <x:v>2</x:v>
      </x:c>
      <x:c r="O62" s="193"/>
    </x:row>
  </x:sheetData>
  <x:mergeCells>
    <x:mergeCell ref="A1:O1"/>
    <x:mergeCell ref="A2:O2"/>
  </x:mergeCells>
  <x:conditionalFormatting sqref="E4:N59">
    <x:cfRule type="expression" dxfId="7" priority="1">
      <x:formula>E4="I"</x:formula>
    </x:cfRule>
    <x:cfRule type="expression" dxfId="8" priority="2">
      <x:formula>E4="R"</x:formula>
    </x:cfRule>
    <x:cfRule type="expression" dxfId="9" priority="3">
      <x:formula>E4="M"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0" hidden="0" customWidth="1"/>
    <x:col min="4" max="4" width="11" hidden="0" customWidth="1"/>
    <x:col min="5" max="5" width="48" hidden="0" customWidth="1"/>
    <x:col min="6" max="6" width="13" hidden="0" customWidth="1"/>
    <x:col min="7" max="7" width="54" hidden="0" customWidth="1"/>
    <x:col min="8" max="8" width="10" hidden="0" customWidth="1"/>
    <x:col min="9" max="9" width="30" hidden="0" customWidth="1"/>
    <x:col min="10" max="10" width="10" hidden="0" customWidth="1"/>
  </x:cols>
  <x:sheetData>
    <x:row r="1" ht="28" customHeight="1">
      <x:c r="A1" s="5" t="str">
        <x:v>CONTOH PENURUNAN CPL -&gt; CPMK -&gt; SUB-CPMK -&gt; EVALUASI (6 MATA KULIAH PENCIRI)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5" t="str">
        <x:v>Kode MK</x:v>
      </x:c>
      <x:c r="B2" s="56" t="str">
        <x:v>Nama Mata Kuliah</x:v>
      </x:c>
      <x:c r="C2" s="56" t="str">
        <x:v>PL Utama</x:v>
      </x:c>
      <x:c r="D2" s="56" t="str">
        <x:v>CPMK</x:v>
      </x:c>
      <x:c r="E2" s="56" t="str">
        <x:v>Rumusan CPMK</x:v>
      </x:c>
      <x:c r="F2" s="56" t="str">
        <x:v>Sub-CPMK</x:v>
      </x:c>
      <x:c r="G2" s="56" t="str">
        <x:v>Rumusan Sub-CPMK</x:v>
      </x:c>
      <x:c r="H2" s="56" t="str">
        <x:v>CPL</x:v>
      </x:c>
      <x:c r="I2" s="56" t="str">
        <x:v>Metode Evaluasi</x:v>
      </x:c>
      <x:c r="J2" s="57" t="str">
        <x:v>Bobot (%)</x:v>
      </x:c>
    </x:row>
    <x:row r="3">
      <x:c r="A3" s="203" t="str">
        <x:v>STI-741</x:v>
      </x:c>
      <x:c r="B3" s="204" t="str">
        <x:v>Integrasi Layanan Cerdas Berbasis AI</x:v>
      </x:c>
      <x:c r="C3" s="204" t="str">
        <x:v>PL01</x:v>
      </x:c>
      <x:c r="D3" s="73" t="str">
        <x:v>CPMK1</x:v>
      </x:c>
      <x:c r="E3" s="73" t="str">
        <x:v>Menganalisis kebutuhan integrasi layanan cerdas dan data pada suatu kasus organisasi.</x:v>
      </x:c>
      <x:c r="F3" s="73" t="str">
        <x:v>Sub-CPMK1.1</x:v>
      </x:c>
      <x:c r="G3" s="73" t="str">
        <x:v>Mengidentifikasi kebutuhan pengguna, sumber data, dan batasan sistem.</x:v>
      </x:c>
      <x:c r="H3" s="73" t="str">
        <x:v>CPL01</x:v>
      </x:c>
      <x:c r="I3" s="73" t="str">
        <x:v>Studi kasus + tugas analisis</x:v>
      </x:c>
      <x:c r="J3" s="207" t="n">
        <x:v>15</x:v>
      </x:c>
    </x:row>
    <x:row r="4">
      <x:c r="A4" s="203" t="str">
        <x:v>STI-741</x:v>
      </x:c>
      <x:c r="B4" s="204" t="str">
        <x:v>Integrasi Layanan Cerdas Berbasis AI</x:v>
      </x:c>
      <x:c r="C4" s="204" t="str">
        <x:v>PL01</x:v>
      </x:c>
      <x:c r="D4" s="73" t="str">
        <x:v>CPMK1</x:v>
      </x:c>
      <x:c r="E4" s="73" t="str">
        <x:v>Menganalisis kebutuhan integrasi layanan cerdas dan data pada suatu kasus organisasi.</x:v>
      </x:c>
      <x:c r="F4" s="73" t="str">
        <x:v>Sub-CPMK1.2</x:v>
      </x:c>
      <x:c r="G4" s="73" t="str">
        <x:v>Menyusun arsitektur konseptual layanan AI dan aliran data.</x:v>
      </x:c>
      <x:c r="H4" s="73" t="str">
        <x:v>CPL03</x:v>
      </x:c>
      <x:c r="I4" s="73" t="str">
        <x:v>Kuis + studi kasus</x:v>
      </x:c>
      <x:c r="J4" s="207" t="n">
        <x:v>15</x:v>
      </x:c>
    </x:row>
    <x:row r="5">
      <x:c r="A5" s="203" t="str">
        <x:v>STI-741</x:v>
      </x:c>
      <x:c r="B5" s="204" t="str">
        <x:v>Integrasi Layanan Cerdas Berbasis AI</x:v>
      </x:c>
      <x:c r="C5" s="204" t="str">
        <x:v>PL01</x:v>
      </x:c>
      <x:c r="D5" s="73" t="str">
        <x:v>CPMK2</x:v>
      </x:c>
      <x:c r="E5" s="73" t="str">
        <x:v>Merancang dan membangun prototipe layanan cerdas berbasis AI yang terintegrasi.</x:v>
      </x:c>
      <x:c r="F5" s="73" t="str">
        <x:v>Sub-CPMK2.1</x:v>
      </x:c>
      <x:c r="G5" s="73" t="str">
        <x:v>Mengembangkan API/model layanan cerdas dan mekanisme integrasi.</x:v>
      </x:c>
      <x:c r="H5" s="73" t="str">
        <x:v>CPL02</x:v>
      </x:c>
      <x:c r="I5" s="73" t="str">
        <x:v>Praktikum + project</x:v>
      </x:c>
      <x:c r="J5" s="207" t="n">
        <x:v>20</x:v>
      </x:c>
    </x:row>
    <x:row r="6">
      <x:c r="A6" s="203" t="str">
        <x:v>STI-741</x:v>
      </x:c>
      <x:c r="B6" s="204" t="str">
        <x:v>Integrasi Layanan Cerdas Berbasis AI</x:v>
      </x:c>
      <x:c r="C6" s="204" t="str">
        <x:v>PL01</x:v>
      </x:c>
      <x:c r="D6" s="73" t="str">
        <x:v>CPMK2</x:v>
      </x:c>
      <x:c r="E6" s="73" t="str">
        <x:v>Merancang dan membangun prototipe layanan cerdas berbasis AI yang terintegrasi.</x:v>
      </x:c>
      <x:c r="F6" s="73" t="str">
        <x:v>Sub-CPMK2.2</x:v>
      </x:c>
      <x:c r="G6" s="73" t="str">
        <x:v>Mengintegrasikan layanan dengan data/cloud/komponen sistem yang relevan.</x:v>
      </x:c>
      <x:c r="H6" s="73" t="str">
        <x:v>CPL05</x:v>
      </x:c>
      <x:c r="I6" s="73" t="str">
        <x:v>Project</x:v>
      </x:c>
      <x:c r="J6" s="207" t="n">
        <x:v>20</x:v>
      </x:c>
    </x:row>
    <x:row r="7">
      <x:c r="A7" s="203" t="str">
        <x:v>STI-741</x:v>
      </x:c>
      <x:c r="B7" s="204" t="str">
        <x:v>Integrasi Layanan Cerdas Berbasis AI</x:v>
      </x:c>
      <x:c r="C7" s="204" t="str">
        <x:v>PL01</x:v>
      </x:c>
      <x:c r="D7" s="73" t="str">
        <x:v>CPMK3</x:v>
      </x:c>
      <x:c r="E7" s="73" t="str">
        <x:v>Mengevaluasi kualitas, interoperabilitas, dan kinerja solusi cerdas.</x:v>
      </x:c>
      <x:c r="F7" s="73" t="str">
        <x:v>Sub-CPMK3.1</x:v>
      </x:c>
      <x:c r="G7" s="73" t="str">
        <x:v>Menguji interoperabilitas data dan layanan.</x:v>
      </x:c>
      <x:c r="H7" s="73" t="str">
        <x:v>CPL06</x:v>
      </x:c>
      <x:c r="I7" s="73" t="str">
        <x:v>Uji sistem</x:v>
      </x:c>
      <x:c r="J7" s="207" t="n">
        <x:v>15</x:v>
      </x:c>
    </x:row>
    <x:row r="8">
      <x:c r="A8" s="203" t="str">
        <x:v>STI-741</x:v>
      </x:c>
      <x:c r="B8" s="204" t="str">
        <x:v>Integrasi Layanan Cerdas Berbasis AI</x:v>
      </x:c>
      <x:c r="C8" s="204" t="str">
        <x:v>PL01</x:v>
      </x:c>
      <x:c r="D8" s="73" t="str">
        <x:v>CPMK3</x:v>
      </x:c>
      <x:c r="E8" s="73" t="str">
        <x:v>Mengevaluasi kualitas, interoperabilitas, dan kinerja solusi cerdas.</x:v>
      </x:c>
      <x:c r="F8" s="73" t="str">
        <x:v>Sub-CPMK3.2</x:v>
      </x:c>
      <x:c r="G8" s="73" t="str">
        <x:v>Mempresentasikan hasil evaluasi dan perbaikan solusi.</x:v>
      </x:c>
      <x:c r="H8" s="73" t="str">
        <x:v>CPL10</x:v>
      </x:c>
      <x:c r="I8" s="73" t="str">
        <x:v>Presentasi + laporan</x:v>
      </x:c>
      <x:c r="J8" s="207" t="n">
        <x:v>15</x:v>
      </x:c>
    </x:row>
    <x:row r="9">
      <x:c r="A9" s="203" t="str">
        <x:v>STI-635</x:v>
      </x:c>
      <x:c r="B9" s="204" t="str">
        <x:v>Desain dan Evaluasi Antarmuka Pengguna (UI/UX) (+P)</x:v>
      </x:c>
      <x:c r="C9" s="204" t="str">
        <x:v>PL02</x:v>
      </x:c>
      <x:c r="D9" s="73" t="str">
        <x:v>CPMK1</x:v>
      </x:c>
      <x:c r="E9" s="73" t="str">
        <x:v>Menganalisis karakteristik, kebutuhan, dan konteks pengguna.</x:v>
      </x:c>
      <x:c r="F9" s="73" t="str">
        <x:v>Sub-CPMK1.1</x:v>
      </x:c>
      <x:c r="G9" s="73" t="str">
        <x:v>Menyusun persona, user journey, dan kebutuhan pengalaman pengguna.</x:v>
      </x:c>
      <x:c r="H9" s="73" t="str">
        <x:v>CPL04</x:v>
      </x:c>
      <x:c r="I9" s="73" t="str">
        <x:v>Studi kasus</x:v>
      </x:c>
      <x:c r="J9" s="207" t="n">
        <x:v>15</x:v>
      </x:c>
    </x:row>
    <x:row r="10">
      <x:c r="A10" s="203" t="str">
        <x:v>STI-635</x:v>
      </x:c>
      <x:c r="B10" s="204" t="str">
        <x:v>Desain dan Evaluasi Antarmuka Pengguna (UI/UX) (+P)</x:v>
      </x:c>
      <x:c r="C10" s="204" t="str">
        <x:v>PL02</x:v>
      </x:c>
      <x:c r="D10" s="73" t="str">
        <x:v>CPMK1</x:v>
      </x:c>
      <x:c r="E10" s="73" t="str">
        <x:v>Menganalisis karakteristik, kebutuhan, dan konteks pengguna.</x:v>
      </x:c>
      <x:c r="F10" s="73" t="str">
        <x:v>Sub-CPMK1.2</x:v>
      </x:c>
      <x:c r="G10" s="73" t="str">
        <x:v>Merumuskan kriteria usability dan aksesibilitas.</x:v>
      </x:c>
      <x:c r="H10" s="73" t="str">
        <x:v>CPL04</x:v>
      </x:c>
      <x:c r="I10" s="73" t="str">
        <x:v>Kuis + tugas</x:v>
      </x:c>
      <x:c r="J10" s="207" t="n">
        <x:v>15</x:v>
      </x:c>
    </x:row>
    <x:row r="11">
      <x:c r="A11" s="203" t="str">
        <x:v>STI-635</x:v>
      </x:c>
      <x:c r="B11" s="204" t="str">
        <x:v>Desain dan Evaluasi Antarmuka Pengguna (UI/UX) (+P)</x:v>
      </x:c>
      <x:c r="C11" s="204" t="str">
        <x:v>PL02</x:v>
      </x:c>
      <x:c r="D11" s="73" t="str">
        <x:v>CPMK2</x:v>
      </x:c>
      <x:c r="E11" s="73" t="str">
        <x:v>Merancang prototipe antarmuka berbasis human-centered design.</x:v>
      </x:c>
      <x:c r="F11" s="73" t="str">
        <x:v>Sub-CPMK2.1</x:v>
      </x:c>
      <x:c r="G11" s="73" t="str">
        <x:v>Menyusun wireframe dan prototipe interaktif.</x:v>
      </x:c>
      <x:c r="H11" s="73" t="str">
        <x:v>CPL04</x:v>
      </x:c>
      <x:c r="I11" s="73" t="str">
        <x:v>Project</x:v>
      </x:c>
      <x:c r="J11" s="207" t="n">
        <x:v>20</x:v>
      </x:c>
    </x:row>
    <x:row r="12">
      <x:c r="A12" s="203" t="str">
        <x:v>STI-635</x:v>
      </x:c>
      <x:c r="B12" s="204" t="str">
        <x:v>Desain dan Evaluasi Antarmuka Pengguna (UI/UX) (+P)</x:v>
      </x:c>
      <x:c r="C12" s="204" t="str">
        <x:v>PL02</x:v>
      </x:c>
      <x:c r="D12" s="73" t="str">
        <x:v>CPMK2</x:v>
      </x:c>
      <x:c r="E12" s="73" t="str">
        <x:v>Merancang prototipe antarmuka berbasis human-centered design.</x:v>
      </x:c>
      <x:c r="F12" s="73" t="str">
        <x:v>Sub-CPMK2.2</x:v>
      </x:c>
      <x:c r="G12" s="73" t="str">
        <x:v>Menerapkan prinsip inklusivitas dan konsistensi desain.</x:v>
      </x:c>
      <x:c r="H12" s="73" t="str">
        <x:v>CPL10</x:v>
      </x:c>
      <x:c r="I12" s="73" t="str">
        <x:v>Review sejawat</x:v>
      </x:c>
      <x:c r="J12" s="207" t="n">
        <x:v>15</x:v>
      </x:c>
    </x:row>
    <x:row r="13">
      <x:c r="A13" s="203" t="str">
        <x:v>STI-635</x:v>
      </x:c>
      <x:c r="B13" s="204" t="str">
        <x:v>Desain dan Evaluasi Antarmuka Pengguna (UI/UX) (+P)</x:v>
      </x:c>
      <x:c r="C13" s="204" t="str">
        <x:v>PL02</x:v>
      </x:c>
      <x:c r="D13" s="73" t="str">
        <x:v>CPMK3</x:v>
      </x:c>
      <x:c r="E13" s="73" t="str">
        <x:v>Mengevaluasi antarmuka menggunakan metode yang tepat.</x:v>
      </x:c>
      <x:c r="F13" s="73" t="str">
        <x:v>Sub-CPMK3.1</x:v>
      </x:c>
      <x:c r="G13" s="73" t="str">
        <x:v>Melaksanakan usability testing dan menganalisis hasilnya.</x:v>
      </x:c>
      <x:c r="H13" s="73" t="str">
        <x:v>CPL09</x:v>
      </x:c>
      <x:c r="I13" s="73" t="str">
        <x:v>Praktikum evaluasi</x:v>
      </x:c>
      <x:c r="J13" s="207" t="n">
        <x:v>20</x:v>
      </x:c>
    </x:row>
    <x:row r="14">
      <x:c r="A14" s="203" t="str">
        <x:v>STI-635</x:v>
      </x:c>
      <x:c r="B14" s="204" t="str">
        <x:v>Desain dan Evaluasi Antarmuka Pengguna (UI/UX) (+P)</x:v>
      </x:c>
      <x:c r="C14" s="204" t="str">
        <x:v>PL02</x:v>
      </x:c>
      <x:c r="D14" s="73" t="str">
        <x:v>CPMK3</x:v>
      </x:c>
      <x:c r="E14" s="73" t="str">
        <x:v>Mengevaluasi antarmuka menggunakan metode yang tepat.</x:v>
      </x:c>
      <x:c r="F14" s="73" t="str">
        <x:v>Sub-CPMK3.2</x:v>
      </x:c>
      <x:c r="G14" s="73" t="str">
        <x:v>Menyusun rekomendasi perbaikan berbasis bukti.</x:v>
      </x:c>
      <x:c r="H14" s="73" t="str">
        <x:v>CPL04</x:v>
      </x:c>
      <x:c r="I14" s="73" t="str">
        <x:v>Laporan + presentasi</x:v>
      </x:c>
      <x:c r="J14" s="207" t="n">
        <x:v>15</x:v>
      </x:c>
    </x:row>
    <x:row r="15">
      <x:c r="A15" s="203" t="str">
        <x:v>STI-526</x:v>
      </x:c>
      <x:c r="B15" s="204" t="str">
        <x:v>Internet of Things (+P)</x:v>
      </x:c>
      <x:c r="C15" s="204" t="str">
        <x:v>PL03</x:v>
      </x:c>
      <x:c r="D15" s="73" t="str">
        <x:v>CPMK1</x:v>
      </x:c>
      <x:c r="E15" s="73" t="str">
        <x:v>Menganalisis kebutuhan dan arsitektur sistem IoT.</x:v>
      </x:c>
      <x:c r="F15" s="73" t="str">
        <x:v>Sub-CPMK1.1</x:v>
      </x:c>
      <x:c r="G15" s="73" t="str">
        <x:v>Mengidentifikasi sensor, aktuator, protokol, dan kebutuhan konektivitas.</x:v>
      </x:c>
      <x:c r="H15" s="73" t="str">
        <x:v>CPL05</x:v>
      </x:c>
      <x:c r="I15" s="73" t="str">
        <x:v>Kuis + studi kasus</x:v>
      </x:c>
      <x:c r="J15" s="207" t="n">
        <x:v>15</x:v>
      </x:c>
    </x:row>
    <x:row r="16">
      <x:c r="A16" s="203" t="str">
        <x:v>STI-526</x:v>
      </x:c>
      <x:c r="B16" s="204" t="str">
        <x:v>Internet of Things (+P)</x:v>
      </x:c>
      <x:c r="C16" s="204" t="str">
        <x:v>PL03</x:v>
      </x:c>
      <x:c r="D16" s="73" t="str">
        <x:v>CPMK1</x:v>
      </x:c>
      <x:c r="E16" s="73" t="str">
        <x:v>Menganalisis kebutuhan dan arsitektur sistem IoT.</x:v>
      </x:c>
      <x:c r="F16" s="73" t="str">
        <x:v>Sub-CPMK1.2</x:v>
      </x:c>
      <x:c r="G16" s="73" t="str">
        <x:v>Menyusun arsitektur perangkat-edge-cloud sesuai kasus.</x:v>
      </x:c>
      <x:c r="H16" s="73" t="str">
        <x:v>CPL05</x:v>
      </x:c>
      <x:c r="I16" s="73" t="str">
        <x:v>Tugas desain</x:v>
      </x:c>
      <x:c r="J16" s="207" t="n">
        <x:v>15</x:v>
      </x:c>
    </x:row>
    <x:row r="17">
      <x:c r="A17" s="203" t="str">
        <x:v>STI-526</x:v>
      </x:c>
      <x:c r="B17" s="204" t="str">
        <x:v>Internet of Things (+P)</x:v>
      </x:c>
      <x:c r="C17" s="204" t="str">
        <x:v>PL03</x:v>
      </x:c>
      <x:c r="D17" s="73" t="str">
        <x:v>CPMK2</x:v>
      </x:c>
      <x:c r="E17" s="73" t="str">
        <x:v>Mengembangkan prototipe IoT yang terhubung dengan layanan perangkat lunak.</x:v>
      </x:c>
      <x:c r="F17" s="73" t="str">
        <x:v>Sub-CPMK2.1</x:v>
      </x:c>
      <x:c r="G17" s="73" t="str">
        <x:v>Membangun akuisisi data sensor dan komunikasi perangkat.</x:v>
      </x:c>
      <x:c r="H17" s="73" t="str">
        <x:v>CPL05</x:v>
      </x:c>
      <x:c r="I17" s="73" t="str">
        <x:v>Praktikum</x:v>
      </x:c>
      <x:c r="J17" s="207" t="n">
        <x:v>20</x:v>
      </x:c>
    </x:row>
    <x:row r="18">
      <x:c r="A18" s="203" t="str">
        <x:v>STI-526</x:v>
      </x:c>
      <x:c r="B18" s="204" t="str">
        <x:v>Internet of Things (+P)</x:v>
      </x:c>
      <x:c r="C18" s="204" t="str">
        <x:v>PL03</x:v>
      </x:c>
      <x:c r="D18" s="73" t="str">
        <x:v>CPMK2</x:v>
      </x:c>
      <x:c r="E18" s="73" t="str">
        <x:v>Mengembangkan prototipe IoT yang terhubung dengan layanan perangkat lunak.</x:v>
      </x:c>
      <x:c r="F18" s="73" t="str">
        <x:v>Sub-CPMK2.2</x:v>
      </x:c>
      <x:c r="G18" s="73" t="str">
        <x:v>Mengintegrasikan data IoT dengan API/aplikasi.</x:v>
      </x:c>
      <x:c r="H18" s="73" t="str">
        <x:v>CPL02</x:v>
      </x:c>
      <x:c r="I18" s="73" t="str">
        <x:v>Project</x:v>
      </x:c>
      <x:c r="J18" s="207" t="n">
        <x:v>20</x:v>
      </x:c>
    </x:row>
    <x:row r="19">
      <x:c r="A19" s="203" t="str">
        <x:v>STI-526</x:v>
      </x:c>
      <x:c r="B19" s="204" t="str">
        <x:v>Internet of Things (+P)</x:v>
      </x:c>
      <x:c r="C19" s="204" t="str">
        <x:v>PL03</x:v>
      </x:c>
      <x:c r="D19" s="73" t="str">
        <x:v>CPMK3</x:v>
      </x:c>
      <x:c r="E19" s="73" t="str">
        <x:v>Menguji keandalan dan keamanan dasar sistem IoT.</x:v>
      </x:c>
      <x:c r="F19" s="73" t="str">
        <x:v>Sub-CPMK3.1</x:v>
      </x:c>
      <x:c r="G19" s="73" t="str">
        <x:v>Melakukan pengujian konektivitas, latensi, dan ketahanan sistem.</x:v>
      </x:c>
      <x:c r="H19" s="73" t="str">
        <x:v>CPL05</x:v>
      </x:c>
      <x:c r="I19" s="73" t="str">
        <x:v>Uji sistem</x:v>
      </x:c>
      <x:c r="J19" s="207" t="n">
        <x:v>15</x:v>
      </x:c>
    </x:row>
    <x:row r="20">
      <x:c r="A20" s="203" t="str">
        <x:v>STI-526</x:v>
      </x:c>
      <x:c r="B20" s="204" t="str">
        <x:v>Internet of Things (+P)</x:v>
      </x:c>
      <x:c r="C20" s="204" t="str">
        <x:v>PL03</x:v>
      </x:c>
      <x:c r="D20" s="73" t="str">
        <x:v>CPMK3</x:v>
      </x:c>
      <x:c r="E20" s="73" t="str">
        <x:v>Menguji keandalan dan keamanan dasar sistem IoT.</x:v>
      </x:c>
      <x:c r="F20" s="73" t="str">
        <x:v>Sub-CPMK3.2</x:v>
      </x:c>
      <x:c r="G20" s="73" t="str">
        <x:v>Mendokumentasikan hasil pengujian dan perbaikan.</x:v>
      </x:c>
      <x:c r="H20" s="73" t="str">
        <x:v>CPL10</x:v>
      </x:c>
      <x:c r="I20" s="73" t="str">
        <x:v>Laporan</x:v>
      </x:c>
      <x:c r="J20" s="207" t="n">
        <x:v>15</x:v>
      </x:c>
    </x:row>
    <x:row r="21">
      <x:c r="A21" s="203" t="str">
        <x:v>STI-420</x:v>
      </x:c>
      <x:c r="B21" s="204" t="str">
        <x:v>Semantic Web dan Ontologi</x:v>
      </x:c>
      <x:c r="C21" s="204" t="str">
        <x:v>PL04</x:v>
      </x:c>
      <x:c r="D21" s="73" t="str">
        <x:v>CPMK1</x:v>
      </x:c>
      <x:c r="E21" s="73" t="str">
        <x:v>Menjelaskan konsep representasi pengetahuan, semantic web, dan ontologi.</x:v>
      </x:c>
      <x:c r="F21" s="73" t="str">
        <x:v>Sub-CPMK1.1</x:v>
      </x:c>
      <x:c r="G21" s="73" t="str">
        <x:v>Mengidentifikasi konsep, relasi, dan taksonomi domain.</x:v>
      </x:c>
      <x:c r="H21" s="73" t="str">
        <x:v>CPL06</x:v>
      </x:c>
      <x:c r="I21" s="73" t="str">
        <x:v>Kuis</x:v>
      </x:c>
      <x:c r="J21" s="207" t="n">
        <x:v>15</x:v>
      </x:c>
    </x:row>
    <x:row r="22">
      <x:c r="A22" s="203" t="str">
        <x:v>STI-420</x:v>
      </x:c>
      <x:c r="B22" s="204" t="str">
        <x:v>Semantic Web dan Ontologi</x:v>
      </x:c>
      <x:c r="C22" s="204" t="str">
        <x:v>PL04</x:v>
      </x:c>
      <x:c r="D22" s="73" t="str">
        <x:v>CPMK1</x:v>
      </x:c>
      <x:c r="E22" s="73" t="str">
        <x:v>Menjelaskan konsep representasi pengetahuan, semantic web, dan ontologi.</x:v>
      </x:c>
      <x:c r="F22" s="73" t="str">
        <x:v>Sub-CPMK1.2</x:v>
      </x:c>
      <x:c r="G22" s="73" t="str">
        <x:v>Menganalisis kebutuhan interoperabilitas data pada kasus.</x:v>
      </x:c>
      <x:c r="H22" s="73" t="str">
        <x:v>CPL06</x:v>
      </x:c>
      <x:c r="I22" s="73" t="str">
        <x:v>Studi kasus</x:v>
      </x:c>
      <x:c r="J22" s="207" t="n">
        <x:v>15</x:v>
      </x:c>
    </x:row>
    <x:row r="23">
      <x:c r="A23" s="203" t="str">
        <x:v>STI-420</x:v>
      </x:c>
      <x:c r="B23" s="204" t="str">
        <x:v>Semantic Web dan Ontologi</x:v>
      </x:c>
      <x:c r="C23" s="204" t="str">
        <x:v>PL04</x:v>
      </x:c>
      <x:c r="D23" s="73" t="str">
        <x:v>CPMK2</x:v>
      </x:c>
      <x:c r="E23" s="73" t="str">
        <x:v>Merancang model ontologi untuk suatu domain.</x:v>
      </x:c>
      <x:c r="F23" s="73" t="str">
        <x:v>Sub-CPMK2.1</x:v>
      </x:c>
      <x:c r="G23" s="73" t="str">
        <x:v>Membangun kelas, properti, dan relasi ontologi.</x:v>
      </x:c>
      <x:c r="H23" s="73" t="str">
        <x:v>CPL06</x:v>
      </x:c>
      <x:c r="I23" s="73" t="str">
        <x:v>Praktikum</x:v>
      </x:c>
      <x:c r="J23" s="207" t="n">
        <x:v>20</x:v>
      </x:c>
    </x:row>
    <x:row r="24">
      <x:c r="A24" s="203" t="str">
        <x:v>STI-420</x:v>
      </x:c>
      <x:c r="B24" s="204" t="str">
        <x:v>Semantic Web dan Ontologi</x:v>
      </x:c>
      <x:c r="C24" s="204" t="str">
        <x:v>PL04</x:v>
      </x:c>
      <x:c r="D24" s="73" t="str">
        <x:v>CPMK2</x:v>
      </x:c>
      <x:c r="E24" s="73" t="str">
        <x:v>Merancang model ontologi untuk suatu domain.</x:v>
      </x:c>
      <x:c r="F24" s="73" t="str">
        <x:v>Sub-CPMK2.2</x:v>
      </x:c>
      <x:c r="G24" s="73" t="str">
        <x:v>Menguji konsistensi dan keterhubungan model.</x:v>
      </x:c>
      <x:c r="H24" s="73" t="str">
        <x:v>CPL09</x:v>
      </x:c>
      <x:c r="I24" s="73" t="str">
        <x:v>Tugas analisis</x:v>
      </x:c>
      <x:c r="J24" s="207" t="n">
        <x:v>15</x:v>
      </x:c>
    </x:row>
    <x:row r="25">
      <x:c r="A25" s="203" t="str">
        <x:v>STI-420</x:v>
      </x:c>
      <x:c r="B25" s="204" t="str">
        <x:v>Semantic Web dan Ontologi</x:v>
      </x:c>
      <x:c r="C25" s="204" t="str">
        <x:v>PL04</x:v>
      </x:c>
      <x:c r="D25" s="73" t="str">
        <x:v>CPMK3</x:v>
      </x:c>
      <x:c r="E25" s="73" t="str">
        <x:v>Mengimplementasikan dan mengevaluasi integrasi data semantik.</x:v>
      </x:c>
      <x:c r="F25" s="73" t="str">
        <x:v>Sub-CPMK3.1</x:v>
      </x:c>
      <x:c r="G25" s="73" t="str">
        <x:v>Menerapkan query dan linked data pada prototipe.</x:v>
      </x:c>
      <x:c r="H25" s="73" t="str">
        <x:v>CPL06</x:v>
      </x:c>
      <x:c r="I25" s="73" t="str">
        <x:v>Project</x:v>
      </x:c>
      <x:c r="J25" s="207" t="n">
        <x:v>20</x:v>
      </x:c>
    </x:row>
    <x:row r="26">
      <x:c r="A26" s="203" t="str">
        <x:v>STI-420</x:v>
      </x:c>
      <x:c r="B26" s="204" t="str">
        <x:v>Semantic Web dan Ontologi</x:v>
      </x:c>
      <x:c r="C26" s="204" t="str">
        <x:v>PL04</x:v>
      </x:c>
      <x:c r="D26" s="73" t="str">
        <x:v>CPMK3</x:v>
      </x:c>
      <x:c r="E26" s="73" t="str">
        <x:v>Mengimplementasikan dan mengevaluasi integrasi data semantik.</x:v>
      </x:c>
      <x:c r="F26" s="73" t="str">
        <x:v>Sub-CPMK3.2</x:v>
      </x:c>
      <x:c r="G26" s="73" t="str">
        <x:v>Menyusun dokumentasi teknis dan presentasi.</x:v>
      </x:c>
      <x:c r="H26" s="73" t="str">
        <x:v>CPL10</x:v>
      </x:c>
      <x:c r="I26" s="73" t="str">
        <x:v>Laporan + presentasi</x:v>
      </x:c>
      <x:c r="J26" s="207" t="n">
        <x:v>15</x:v>
      </x:c>
    </x:row>
    <x:row r="27">
      <x:c r="A27" s="203" t="str">
        <x:v>STI-742</x:v>
      </x:c>
      <x:c r="B27" s="204" t="str">
        <x:v>Inovasi Teknologi dan Startup Digital</x:v>
      </x:c>
      <x:c r="C27" s="204" t="str">
        <x:v>PL05</x:v>
      </x:c>
      <x:c r="D27" s="73" t="str">
        <x:v>CPMK1</x:v>
      </x:c>
      <x:c r="E27" s="73" t="str">
        <x:v>Menganalisis masalah, peluang, dan kebutuhan pasar untuk inovasi digital.</x:v>
      </x:c>
      <x:c r="F27" s="73" t="str">
        <x:v>Sub-CPMK1.1</x:v>
      </x:c>
      <x:c r="G27" s="73" t="str">
        <x:v>Memvalidasi problem-solution fit melalui riset pengguna/pasar.</x:v>
      </x:c>
      <x:c r="H27" s="73" t="str">
        <x:v>CPL08</x:v>
      </x:c>
      <x:c r="I27" s="73" t="str">
        <x:v>Studi lapangan</x:v>
      </x:c>
      <x:c r="J27" s="207" t="n">
        <x:v>15</x:v>
      </x:c>
    </x:row>
    <x:row r="28">
      <x:c r="A28" s="203" t="str">
        <x:v>STI-742</x:v>
      </x:c>
      <x:c r="B28" s="204" t="str">
        <x:v>Inovasi Teknologi dan Startup Digital</x:v>
      </x:c>
      <x:c r="C28" s="204" t="str">
        <x:v>PL05</x:v>
      </x:c>
      <x:c r="D28" s="73" t="str">
        <x:v>CPMK1</x:v>
      </x:c>
      <x:c r="E28" s="73" t="str">
        <x:v>Menganalisis masalah, peluang, dan kebutuhan pasar untuk inovasi digital.</x:v>
      </x:c>
      <x:c r="F28" s="73" t="str">
        <x:v>Sub-CPMK1.2</x:v>
      </x:c>
      <x:c r="G28" s="73" t="str">
        <x:v>Merumuskan proposisi nilai dan segmen pengguna.</x:v>
      </x:c>
      <x:c r="H28" s="73" t="str">
        <x:v>CPL08</x:v>
      </x:c>
      <x:c r="I28" s="73" t="str">
        <x:v>Tugas</x:v>
      </x:c>
      <x:c r="J28" s="207" t="n">
        <x:v>15</x:v>
      </x:c>
    </x:row>
    <x:row r="29">
      <x:c r="A29" s="203" t="str">
        <x:v>STI-742</x:v>
      </x:c>
      <x:c r="B29" s="204" t="str">
        <x:v>Inovasi Teknologi dan Startup Digital</x:v>
      </x:c>
      <x:c r="C29" s="204" t="str">
        <x:v>PL05</x:v>
      </x:c>
      <x:c r="D29" s="73" t="str">
        <x:v>CPMK2</x:v>
      </x:c>
      <x:c r="E29" s="73" t="str">
        <x:v>Merancang model bisnis dan MVP produk digital.</x:v>
      </x:c>
      <x:c r="F29" s="73" t="str">
        <x:v>Sub-CPMK2.1</x:v>
      </x:c>
      <x:c r="G29" s="73" t="str">
        <x:v>Menyusun model bisnis dan strategi pengembangan produk.</x:v>
      </x:c>
      <x:c r="H29" s="73" t="str">
        <x:v>CPL08</x:v>
      </x:c>
      <x:c r="I29" s="73" t="str">
        <x:v>Project</x:v>
      </x:c>
      <x:c r="J29" s="207" t="n">
        <x:v>20</x:v>
      </x:c>
    </x:row>
    <x:row r="30">
      <x:c r="A30" s="203" t="str">
        <x:v>STI-742</x:v>
      </x:c>
      <x:c r="B30" s="204" t="str">
        <x:v>Inovasi Teknologi dan Startup Digital</x:v>
      </x:c>
      <x:c r="C30" s="204" t="str">
        <x:v>PL05</x:v>
      </x:c>
      <x:c r="D30" s="73" t="str">
        <x:v>CPMK2</x:v>
      </x:c>
      <x:c r="E30" s="73" t="str">
        <x:v>Merancang model bisnis dan MVP produk digital.</x:v>
      </x:c>
      <x:c r="F30" s="73" t="str">
        <x:v>Sub-CPMK2.2</x:v>
      </x:c>
      <x:c r="G30" s="73" t="str">
        <x:v>Mengembangkan dan menguji MVP bersama pengguna.</x:v>
      </x:c>
      <x:c r="H30" s="73" t="str">
        <x:v>CPL08</x:v>
      </x:c>
      <x:c r="I30" s="73" t="str">
        <x:v>Project</x:v>
      </x:c>
      <x:c r="J30" s="207" t="n">
        <x:v>20</x:v>
      </x:c>
    </x:row>
    <x:row r="31">
      <x:c r="A31" s="203" t="str">
        <x:v>STI-742</x:v>
      </x:c>
      <x:c r="B31" s="204" t="str">
        <x:v>Inovasi Teknologi dan Startup Digital</x:v>
      </x:c>
      <x:c r="C31" s="204" t="str">
        <x:v>PL05</x:v>
      </x:c>
      <x:c r="D31" s="73" t="str">
        <x:v>CPMK3</x:v>
      </x:c>
      <x:c r="E31" s="73" t="str">
        <x:v>Menyajikan dan mengevaluasi kelayakan inovasi digital.</x:v>
      </x:c>
      <x:c r="F31" s="73" t="str">
        <x:v>Sub-CPMK3.1</x:v>
      </x:c>
      <x:c r="G31" s="73" t="str">
        <x:v>Menyusun metrik validasi dan analisis kelayakan.</x:v>
      </x:c>
      <x:c r="H31" s="73" t="str">
        <x:v>CPL09</x:v>
      </x:c>
      <x:c r="I31" s="73" t="str">
        <x:v>Analisis data</x:v>
      </x:c>
      <x:c r="J31" s="207" t="n">
        <x:v>15</x:v>
      </x:c>
    </x:row>
    <x:row r="32">
      <x:c r="A32" s="203" t="str">
        <x:v>STI-742</x:v>
      </x:c>
      <x:c r="B32" s="204" t="str">
        <x:v>Inovasi Teknologi dan Startup Digital</x:v>
      </x:c>
      <x:c r="C32" s="204" t="str">
        <x:v>PL05</x:v>
      </x:c>
      <x:c r="D32" s="73" t="str">
        <x:v>CPMK3</x:v>
      </x:c>
      <x:c r="E32" s="73" t="str">
        <x:v>Menyajikan dan mengevaluasi kelayakan inovasi digital.</x:v>
      </x:c>
      <x:c r="F32" s="73" t="str">
        <x:v>Sub-CPMK3.2</x:v>
      </x:c>
      <x:c r="G32" s="73" t="str">
        <x:v>Melakukan pitching dan refleksi profesional.</x:v>
      </x:c>
      <x:c r="H32" s="73" t="str">
        <x:v>CPL10</x:v>
      </x:c>
      <x:c r="I32" s="73" t="str">
        <x:v>Pitching + refleksi</x:v>
      </x:c>
      <x:c r="J32" s="207" t="n">
        <x:v>15</x:v>
      </x:c>
    </x:row>
    <x:row r="33">
      <x:c r="A33" s="203" t="str">
        <x:v>STI-743</x:v>
      </x:c>
      <x:c r="B33" s="204" t="str">
        <x:v>Audit dan Tata Kelola Sistem Informasi</x:v>
      </x:c>
      <x:c r="C33" s="204" t="str">
        <x:v>PL06</x:v>
      </x:c>
      <x:c r="D33" s="73" t="str">
        <x:v>CPMK1</x:v>
      </x:c>
      <x:c r="E33" s="73" t="str">
        <x:v>Menganalisis prinsip tata kelola, risiko, kontrol, dan kepatuhan TI.</x:v>
      </x:c>
      <x:c r="F33" s="73" t="str">
        <x:v>Sub-CPMK1.1</x:v>
      </x:c>
      <x:c r="G33" s="73" t="str">
        <x:v>Mengidentifikasi tujuan tata kelola dan risiko pada kasus organisasi.</x:v>
      </x:c>
      <x:c r="H33" s="73" t="str">
        <x:v>CPL07</x:v>
      </x:c>
      <x:c r="I33" s="73" t="str">
        <x:v>Studi kasus</x:v>
      </x:c>
      <x:c r="J33" s="207" t="n">
        <x:v>15</x:v>
      </x:c>
    </x:row>
    <x:row r="34">
      <x:c r="A34" s="203" t="str">
        <x:v>STI-743</x:v>
      </x:c>
      <x:c r="B34" s="204" t="str">
        <x:v>Audit dan Tata Kelola Sistem Informasi</x:v>
      </x:c>
      <x:c r="C34" s="204" t="str">
        <x:v>PL06</x:v>
      </x:c>
      <x:c r="D34" s="73" t="str">
        <x:v>CPMK1</x:v>
      </x:c>
      <x:c r="E34" s="73" t="str">
        <x:v>Menganalisis prinsip tata kelola, risiko, kontrol, dan kepatuhan TI.</x:v>
      </x:c>
      <x:c r="F34" s="73" t="str">
        <x:v>Sub-CPMK1.2</x:v>
      </x:c>
      <x:c r="G34" s="73" t="str">
        <x:v>Memetakan kontrol, etika, hukum, dan kebutuhan kebijakan.</x:v>
      </x:c>
      <x:c r="H34" s="73" t="str">
        <x:v>CPL07</x:v>
      </x:c>
      <x:c r="I34" s="73" t="str">
        <x:v>Kuis + tugas</x:v>
      </x:c>
      <x:c r="J34" s="207" t="n">
        <x:v>15</x:v>
      </x:c>
    </x:row>
    <x:row r="35">
      <x:c r="A35" s="203" t="str">
        <x:v>STI-743</x:v>
      </x:c>
      <x:c r="B35" s="204" t="str">
        <x:v>Audit dan Tata Kelola Sistem Informasi</x:v>
      </x:c>
      <x:c r="C35" s="204" t="str">
        <x:v>PL06</x:v>
      </x:c>
      <x:c r="D35" s="73" t="str">
        <x:v>CPMK2</x:v>
      </x:c>
      <x:c r="E35" s="73" t="str">
        <x:v>Merancang prosedur audit dan evaluasi tata kelola SI.</x:v>
      </x:c>
      <x:c r="F35" s="73" t="str">
        <x:v>Sub-CPMK2.1</x:v>
      </x:c>
      <x:c r="G35" s="73" t="str">
        <x:v>Menyusun ruang lingkup, kriteria, bukti, dan instrumen audit.</x:v>
      </x:c>
      <x:c r="H35" s="73" t="str">
        <x:v>CPL09</x:v>
      </x:c>
      <x:c r="I35" s="73" t="str">
        <x:v>Project audit</x:v>
      </x:c>
      <x:c r="J35" s="207" t="n">
        <x:v>20</x:v>
      </x:c>
    </x:row>
    <x:row r="36">
      <x:c r="A36" s="203" t="str">
        <x:v>STI-743</x:v>
      </x:c>
      <x:c r="B36" s="204" t="str">
        <x:v>Audit dan Tata Kelola Sistem Informasi</x:v>
      </x:c>
      <x:c r="C36" s="204" t="str">
        <x:v>PL06</x:v>
      </x:c>
      <x:c r="D36" s="73" t="str">
        <x:v>CPMK2</x:v>
      </x:c>
      <x:c r="E36" s="73" t="str">
        <x:v>Merancang prosedur audit dan evaluasi tata kelola SI.</x:v>
      </x:c>
      <x:c r="F36" s="73" t="str">
        <x:v>Sub-CPMK2.2</x:v>
      </x:c>
      <x:c r="G36" s="73" t="str">
        <x:v>Melaksanakan analisis temuan dan tingkat risiko.</x:v>
      </x:c>
      <x:c r="H36" s="73" t="str">
        <x:v>CPL07</x:v>
      </x:c>
      <x:c r="I36" s="73" t="str">
        <x:v>Project audit</x:v>
      </x:c>
      <x:c r="J36" s="207" t="n">
        <x:v>20</x:v>
      </x:c>
    </x:row>
    <x:row r="37">
      <x:c r="A37" s="203" t="str">
        <x:v>STI-743</x:v>
      </x:c>
      <x:c r="B37" s="204" t="str">
        <x:v>Audit dan Tata Kelola Sistem Informasi</x:v>
      </x:c>
      <x:c r="C37" s="204" t="str">
        <x:v>PL06</x:v>
      </x:c>
      <x:c r="D37" s="73" t="str">
        <x:v>CPMK3</x:v>
      </x:c>
      <x:c r="E37" s="73" t="str">
        <x:v>Merumuskan rekomendasi peningkatan tata kelola dan transformasi digital.</x:v>
      </x:c>
      <x:c r="F37" s="73" t="str">
        <x:v>Sub-CPMK3.1</x:v>
      </x:c>
      <x:c r="G37" s="73" t="str">
        <x:v>Menyusun rekomendasi berbasis bukti dan prioritas risiko.</x:v>
      </x:c>
      <x:c r="H37" s="73" t="str">
        <x:v>CPL07</x:v>
      </x:c>
      <x:c r="I37" s="73" t="str">
        <x:v>Laporan</x:v>
      </x:c>
      <x:c r="J37" s="207" t="n">
        <x:v>15</x:v>
      </x:c>
    </x:row>
    <x:row r="38">
      <x:c r="A38" s="209" t="str">
        <x:v>STI-743</x:v>
      </x:c>
      <x:c r="B38" s="210" t="str">
        <x:v>Audit dan Tata Kelola Sistem Informasi</x:v>
      </x:c>
      <x:c r="C38" s="210" t="str">
        <x:v>PL06</x:v>
      </x:c>
      <x:c r="D38" s="74" t="str">
        <x:v>CPMK3</x:v>
      </x:c>
      <x:c r="E38" s="74" t="str">
        <x:v>Merumuskan rekomendasi peningkatan tata kelola dan transformasi digital.</x:v>
      </x:c>
      <x:c r="F38" s="74" t="str">
        <x:v>Sub-CPMK3.2</x:v>
      </x:c>
      <x:c r="G38" s="74" t="str">
        <x:v>Mempresentasikan temuan secara profesional dan bertanggung jawab.</x:v>
      </x:c>
      <x:c r="H38" s="74" t="str">
        <x:v>CPL10</x:v>
      </x:c>
      <x:c r="I38" s="74" t="str">
        <x:v>Presentasi</x:v>
      </x:c>
      <x:c r="J38" s="213" t="n">
        <x:v>15</x:v>
      </x:c>
    </x:row>
    <x:row r="40">
      <x:c r="A40" s="55" t="str">
        <x:v>Kode MK</x:v>
      </x:c>
      <x:c r="B40" s="56" t="str">
        <x:v>Nama Mata Kuliah</x:v>
      </x:c>
      <x:c r="C40" s="56" t="str">
        <x:v>Total Bobot</x:v>
      </x:c>
      <x:c r="D40" s="57" t="str">
        <x:v>Validasi</x:v>
      </x:c>
    </x:row>
    <x:row r="41">
      <x:c r="A41" s="58" t="str">
        <x:v>STI-741</x:v>
      </x:c>
      <x:c r="B41" s="59" t="str">
        <x:v>Integrasi Layanan Cerdas Berbasis AI</x:v>
      </x:c>
      <x:c r="C41" s="59" t="n">
        <x:v>100</x:v>
      </x:c>
      <x:c r="D41" s="60" t="str">
        <x:v>OK</x:v>
      </x:c>
    </x:row>
    <x:row r="42">
      <x:c r="A42" s="58" t="str">
        <x:v>STI-635</x:v>
      </x:c>
      <x:c r="B42" s="59" t="str">
        <x:v>Desain dan Evaluasi Antarmuka Pengguna (UI/UX) (+P)</x:v>
      </x:c>
      <x:c r="C42" s="59" t="n">
        <x:v>100</x:v>
      </x:c>
      <x:c r="D42" s="60" t="str">
        <x:v>OK</x:v>
      </x:c>
    </x:row>
    <x:row r="43">
      <x:c r="A43" s="58" t="str">
        <x:v>STI-526</x:v>
      </x:c>
      <x:c r="B43" s="59" t="str">
        <x:v>Internet of Things (+P)</x:v>
      </x:c>
      <x:c r="C43" s="59" t="n">
        <x:v>100</x:v>
      </x:c>
      <x:c r="D43" s="60" t="str">
        <x:v>OK</x:v>
      </x:c>
    </x:row>
    <x:row r="44">
      <x:c r="A44" s="58" t="str">
        <x:v>STI-420</x:v>
      </x:c>
      <x:c r="B44" s="59" t="str">
        <x:v>Semantic Web dan Ontologi</x:v>
      </x:c>
      <x:c r="C44" s="59" t="n">
        <x:v>100</x:v>
      </x:c>
      <x:c r="D44" s="60" t="str">
        <x:v>OK</x:v>
      </x:c>
    </x:row>
    <x:row r="45">
      <x:c r="A45" s="58" t="str">
        <x:v>STI-742</x:v>
      </x:c>
      <x:c r="B45" s="59" t="str">
        <x:v>Inovasi Teknologi dan Startup Digital</x:v>
      </x:c>
      <x:c r="C45" s="59" t="n">
        <x:v>100</x:v>
      </x:c>
      <x:c r="D45" s="60" t="str">
        <x:v>OK</x:v>
      </x:c>
    </x:row>
    <x:row r="46">
      <x:c r="A46" s="61" t="str">
        <x:v>STI-743</x:v>
      </x:c>
      <x:c r="B46" s="62" t="str">
        <x:v>Audit dan Tata Kelola Sistem Informasi</x:v>
      </x:c>
      <x:c r="C46" s="62" t="n">
        <x:v>100</x:v>
      </x:c>
      <x:c r="D46" s="63" t="str">
        <x:v>OK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</x:cols>
  <x:sheetData>
    <x:row r="1" ht="28" customHeight="1">
      <x:c r="A1" s="5" t="str">
        <x:v>TEMPLATE EVALUASI OBE - STI-741 Integrasi Layanan Cerdas Berbasis AI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15" t="str">
        <x:v>CPL dibebankan: CPL02, CPL03, CPL05, CPL06 | Isi nilai 0-100 pada kolom Tugas s.d. Project. Target ketercapaian default = 75.</x:v>
      </x:c>
      <x:c r="B2" s="215"/>
      <x:c r="C2" s="215"/>
      <x:c r="D2" s="215"/>
      <x:c r="E2" s="215"/>
      <x:c r="F2" s="215"/>
      <x:c r="G2" s="215"/>
      <x:c r="H2" s="215"/>
      <x:c r="I2" s="215"/>
      <x:c r="J2" s="215"/>
      <x:c r="K2" s="215"/>
      <x:c r="L2" s="215"/>
      <x:c r="M2" s="215"/>
      <x:c r="N2" s="215"/>
    </x:row>
    <x:row r="3">
      <x:c r="A3" s="21" t="str">
        <x:v>Komponen</x:v>
      </x:c>
      <x:c r="B3" s="22" t="str">
        <x:v>Bobot</x:v>
      </x:c>
      <x:c r="C3" s="22" t="str">
        <x:v>Kelompok CPMK</x:v>
      </x:c>
      <x:c r="D3" s="22" t="str">
        <x:v>Tugas</x:v>
      </x:c>
      <x:c r="E3" s="22" t="str">
        <x:v>Kuis</x:v>
      </x:c>
      <x:c r="F3" s="22" t="str">
        <x:v>UTS</x:v>
      </x:c>
      <x:c r="G3" s="22" t="str">
        <x:v>UAS</x:v>
      </x:c>
      <x:c r="H3" s="22" t="str">
        <x:v>Aktivitas</x:v>
      </x:c>
      <x:c r="I3" s="22" t="str">
        <x:v>Project</x:v>
      </x:c>
      <x:c r="J3" s="22" t="str">
        <x:v>Nilai Akhir</x:v>
      </x:c>
      <x:c r="K3" s="22" t="str">
        <x:v>CPMK1</x:v>
      </x:c>
      <x:c r="L3" s="22" t="str">
        <x:v>CPMK2</x:v>
      </x:c>
      <x:c r="M3" s="22" t="str">
        <x:v>CPMK3</x:v>
      </x:c>
      <x:c r="N3" s="23" t="str">
        <x:v>Status</x:v>
      </x:c>
    </x:row>
    <x:row r="4">
      <x:c r="A4" s="21" t="str">
        <x:v>Bobot (%)</x:v>
      </x:c>
      <x:c r="B4" s="22" t="n">
        <x:v>100</x:v>
      </x:c>
      <x:c r="C4" s="22" t="str"/>
      <x:c r="D4" s="224" t="n">
        <x:v>0.15</x:v>
      </x:c>
      <x:c r="E4" s="224" t="n">
        <x:v>0.1</x:v>
      </x:c>
      <x:c r="F4" s="224" t="n">
        <x:v>0.2</x:v>
      </x:c>
      <x:c r="G4" s="224" t="n">
        <x:v>0.2</x:v>
      </x:c>
      <x:c r="H4" s="224" t="n">
        <x:v>0.1</x:v>
      </x:c>
      <x:c r="I4" s="224" t="n">
        <x:v>0.25</x:v>
      </x:c>
      <x:c r="J4" s="22" t="str">
        <x:v>Target</x:v>
      </x:c>
      <x:c r="K4" s="22" t="n">
        <x:v>75</x:v>
      </x:c>
      <x:c r="L4" s="22" t="n">
        <x:v>75</x:v>
      </x:c>
      <x:c r="M4" s="22" t="n">
        <x:v>75</x:v>
      </x:c>
      <x:c r="N4" s="23" t="str"/>
    </x:row>
    <x:row r="6">
      <x:c r="A6" s="55" t="str">
        <x:v>No</x:v>
      </x:c>
      <x:c r="B6" s="56" t="str">
        <x:v>NIM</x:v>
      </x:c>
      <x:c r="C6" s="56" t="str">
        <x:v>Nama Mahasiswa</x:v>
      </x:c>
      <x:c r="D6" s="56" t="str">
        <x:v>Tugas</x:v>
      </x:c>
      <x:c r="E6" s="56" t="str">
        <x:v>Kuis</x:v>
      </x:c>
      <x:c r="F6" s="56" t="str">
        <x:v>UTS</x:v>
      </x:c>
      <x:c r="G6" s="56" t="str">
        <x:v>UAS</x:v>
      </x:c>
      <x:c r="H6" s="56" t="str">
        <x:v>Aktivitas</x:v>
      </x:c>
      <x:c r="I6" s="56" t="str">
        <x:v>Project</x:v>
      </x:c>
      <x:c r="J6" s="56" t="str">
        <x:v>Nilai Akhir</x:v>
      </x:c>
      <x:c r="K6" s="56" t="str">
        <x:v>CPMK1</x:v>
      </x:c>
      <x:c r="L6" s="56" t="str">
        <x:v>CPMK2</x:v>
      </x:c>
      <x:c r="M6" s="56" t="str">
        <x:v>CPMK3</x:v>
      </x:c>
      <x:c r="N6" s="57" t="str">
        <x:v>Status CPL</x:v>
      </x:c>
    </x:row>
    <x:row r="7">
      <x:c r="A7" s="58" t="n">
        <x:v>1</x:v>
      </x:c>
      <x:c r="B7" s="59" t="str"/>
      <x:c r="C7" s="59" t="str"/>
      <x:c r="D7" s="59"/>
      <x:c r="E7" s="59"/>
      <x:c r="F7" s="59"/>
      <x:c r="G7" s="59"/>
      <x:c r="H7" s="59"/>
      <x:c r="I7" s="59"/>
      <x:c r="J7" s="59" t="str">
        <x:f>IF(COUNTA(D7:I7)=0,"",D7*$D$4+E7*$E$4+F7*$F$4+G7*$G$4+H7*$H$4+I7*$I$4)</x:f>
      </x:c>
      <x:c r="K7" s="59" t="str">
        <x:f>IF(COUNTA(D7:F7)=0,"",(D7*$D$4+E7*$E$4+F7*$F$4)/SUM($D$4:$F$4))</x:f>
      </x:c>
      <x:c r="L7" s="59" t="str">
        <x:f>IF(COUNTA(G7:H7)=0,"",(G7*$G$4+H7*$H$4)/SUM($G$4:$H$4))</x:f>
      </x:c>
      <x:c r="M7" s="59" t="str">
        <x:f>IF(I7="","",I7)</x:f>
      </x:c>
      <x:c r="N7" s="60" t="str">
        <x:f>IF(J7="","",IF(J7&gt;=75,"Tercapai","Belum Tercapai"))</x:f>
      </x:c>
    </x:row>
    <x:row r="8">
      <x:c r="A8" s="58" t="n">
        <x:v>2</x:v>
      </x:c>
      <x:c r="B8" s="59" t="str"/>
      <x:c r="C8" s="59" t="str"/>
      <x:c r="D8" s="59"/>
      <x:c r="E8" s="59"/>
      <x:c r="F8" s="59"/>
      <x:c r="G8" s="59"/>
      <x:c r="H8" s="59"/>
      <x:c r="I8" s="59"/>
      <x:c r="J8" s="59" t="str">
        <x:f>IF(COUNTA(D8:I8)=0,"",D8*$D$4+E8*$E$4+F8*$F$4+G8*$G$4+H8*$H$4+I8*$I$4)</x:f>
      </x:c>
      <x:c r="K8" s="59" t="str">
        <x:f>IF(COUNTA(D8:F8)=0,"",(D8*$D$4+E8*$E$4+F8*$F$4)/SUM($D$4:$F$4))</x:f>
      </x:c>
      <x:c r="L8" s="59" t="str">
        <x:f>IF(COUNTA(G8:H8)=0,"",(G8*$G$4+H8*$H$4)/SUM($G$4:$H$4))</x:f>
      </x:c>
      <x:c r="M8" s="59" t="str">
        <x:f>IF(I8="","",I8)</x:f>
      </x:c>
      <x:c r="N8" s="60" t="str">
        <x:f>IF(J8="","",IF(J8&gt;=75,"Tercapai","Belum Tercapai"))</x:f>
      </x:c>
    </x:row>
    <x:row r="9">
      <x:c r="A9" s="58" t="n">
        <x:v>3</x:v>
      </x:c>
      <x:c r="B9" s="59" t="str"/>
      <x:c r="C9" s="59" t="str"/>
      <x:c r="D9" s="59"/>
      <x:c r="E9" s="59"/>
      <x:c r="F9" s="59"/>
      <x:c r="G9" s="59"/>
      <x:c r="H9" s="59"/>
      <x:c r="I9" s="59"/>
      <x:c r="J9" s="59" t="str">
        <x:f>IF(COUNTA(D9:I9)=0,"",D9*$D$4+E9*$E$4+F9*$F$4+G9*$G$4+H9*$H$4+I9*$I$4)</x:f>
      </x:c>
      <x:c r="K9" s="59" t="str">
        <x:f>IF(COUNTA(D9:F9)=0,"",(D9*$D$4+E9*$E$4+F9*$F$4)/SUM($D$4:$F$4))</x:f>
      </x:c>
      <x:c r="L9" s="59" t="str">
        <x:f>IF(COUNTA(G9:H9)=0,"",(G9*$G$4+H9*$H$4)/SUM($G$4:$H$4))</x:f>
      </x:c>
      <x:c r="M9" s="59" t="str">
        <x:f>IF(I9="","",I9)</x:f>
      </x:c>
      <x:c r="N9" s="60" t="str">
        <x:f>IF(J9="","",IF(J9&gt;=75,"Tercapai","Belum Tercapai"))</x:f>
      </x:c>
    </x:row>
    <x:row r="10">
      <x:c r="A10" s="58" t="n">
        <x:v>4</x:v>
      </x:c>
      <x:c r="B10" s="59" t="str"/>
      <x:c r="C10" s="59" t="str"/>
      <x:c r="D10" s="59"/>
      <x:c r="E10" s="59"/>
      <x:c r="F10" s="59"/>
      <x:c r="G10" s="59"/>
      <x:c r="H10" s="59"/>
      <x:c r="I10" s="59"/>
      <x:c r="J10" s="59" t="str">
        <x:f>IF(COUNTA(D10:I10)=0,"",D10*$D$4+E10*$E$4+F10*$F$4+G10*$G$4+H10*$H$4+I10*$I$4)</x:f>
      </x:c>
      <x:c r="K10" s="59" t="str">
        <x:f>IF(COUNTA(D10:F10)=0,"",(D10*$D$4+E10*$E$4+F10*$F$4)/SUM($D$4:$F$4))</x:f>
      </x:c>
      <x:c r="L10" s="59" t="str">
        <x:f>IF(COUNTA(G10:H10)=0,"",(G10*$G$4+H10*$H$4)/SUM($G$4:$H$4))</x:f>
      </x:c>
      <x:c r="M10" s="59" t="str">
        <x:f>IF(I10="","",I10)</x:f>
      </x:c>
      <x:c r="N10" s="60" t="str">
        <x:f>IF(J10="","",IF(J10&gt;=75,"Tercapai","Belum Tercapai"))</x:f>
      </x:c>
    </x:row>
    <x:row r="11">
      <x:c r="A11" s="58" t="n">
        <x:v>5</x:v>
      </x:c>
      <x:c r="B11" s="59" t="str"/>
      <x:c r="C11" s="59" t="str"/>
      <x:c r="D11" s="59"/>
      <x:c r="E11" s="59"/>
      <x:c r="F11" s="59"/>
      <x:c r="G11" s="59"/>
      <x:c r="H11" s="59"/>
      <x:c r="I11" s="59"/>
      <x:c r="J11" s="59" t="str">
        <x:f>IF(COUNTA(D11:I11)=0,"",D11*$D$4+E11*$E$4+F11*$F$4+G11*$G$4+H11*$H$4+I11*$I$4)</x:f>
      </x:c>
      <x:c r="K11" s="59" t="str">
        <x:f>IF(COUNTA(D11:F11)=0,"",(D11*$D$4+E11*$E$4+F11*$F$4)/SUM($D$4:$F$4))</x:f>
      </x:c>
      <x:c r="L11" s="59" t="str">
        <x:f>IF(COUNTA(G11:H11)=0,"",(G11*$G$4+H11*$H$4)/SUM($G$4:$H$4))</x:f>
      </x:c>
      <x:c r="M11" s="59" t="str">
        <x:f>IF(I11="","",I11)</x:f>
      </x:c>
      <x:c r="N11" s="60" t="str">
        <x:f>IF(J11="","",IF(J11&gt;=75,"Tercapai","Belum Tercapai"))</x:f>
      </x:c>
    </x:row>
    <x:row r="12">
      <x:c r="A12" s="58" t="n">
        <x:v>6</x:v>
      </x:c>
      <x:c r="B12" s="59" t="str"/>
      <x:c r="C12" s="59" t="str"/>
      <x:c r="D12" s="59"/>
      <x:c r="E12" s="59"/>
      <x:c r="F12" s="59"/>
      <x:c r="G12" s="59"/>
      <x:c r="H12" s="59"/>
      <x:c r="I12" s="59"/>
      <x:c r="J12" s="59" t="str">
        <x:f>IF(COUNTA(D12:I12)=0,"",D12*$D$4+E12*$E$4+F12*$F$4+G12*$G$4+H12*$H$4+I12*$I$4)</x:f>
      </x:c>
      <x:c r="K12" s="59" t="str">
        <x:f>IF(COUNTA(D12:F12)=0,"",(D12*$D$4+E12*$E$4+F12*$F$4)/SUM($D$4:$F$4))</x:f>
      </x:c>
      <x:c r="L12" s="59" t="str">
        <x:f>IF(COUNTA(G12:H12)=0,"",(G12*$G$4+H12*$H$4)/SUM($G$4:$H$4))</x:f>
      </x:c>
      <x:c r="M12" s="59" t="str">
        <x:f>IF(I12="","",I12)</x:f>
      </x:c>
      <x:c r="N12" s="60" t="str">
        <x:f>IF(J12="","",IF(J12&gt;=75,"Tercapai","Belum Tercapai"))</x:f>
      </x:c>
    </x:row>
    <x:row r="13">
      <x:c r="A13" s="58" t="n">
        <x:v>7</x:v>
      </x:c>
      <x:c r="B13" s="59" t="str"/>
      <x:c r="C13" s="59" t="str"/>
      <x:c r="D13" s="59"/>
      <x:c r="E13" s="59"/>
      <x:c r="F13" s="59"/>
      <x:c r="G13" s="59"/>
      <x:c r="H13" s="59"/>
      <x:c r="I13" s="59"/>
      <x:c r="J13" s="59" t="str">
        <x:f>IF(COUNTA(D13:I13)=0,"",D13*$D$4+E13*$E$4+F13*$F$4+G13*$G$4+H13*$H$4+I13*$I$4)</x:f>
      </x:c>
      <x:c r="K13" s="59" t="str">
        <x:f>IF(COUNTA(D13:F13)=0,"",(D13*$D$4+E13*$E$4+F13*$F$4)/SUM($D$4:$F$4))</x:f>
      </x:c>
      <x:c r="L13" s="59" t="str">
        <x:f>IF(COUNTA(G13:H13)=0,"",(G13*$G$4+H13*$H$4)/SUM($G$4:$H$4))</x:f>
      </x:c>
      <x:c r="M13" s="59" t="str">
        <x:f>IF(I13="","",I13)</x:f>
      </x:c>
      <x:c r="N13" s="60" t="str">
        <x:f>IF(J13="","",IF(J13&gt;=75,"Tercapai","Belum Tercapai"))</x:f>
      </x:c>
    </x:row>
    <x:row r="14">
      <x:c r="A14" s="58" t="n">
        <x:v>8</x:v>
      </x:c>
      <x:c r="B14" s="59" t="str"/>
      <x:c r="C14" s="59" t="str"/>
      <x:c r="D14" s="59"/>
      <x:c r="E14" s="59"/>
      <x:c r="F14" s="59"/>
      <x:c r="G14" s="59"/>
      <x:c r="H14" s="59"/>
      <x:c r="I14" s="59"/>
      <x:c r="J14" s="59" t="str">
        <x:f>IF(COUNTA(D14:I14)=0,"",D14*$D$4+E14*$E$4+F14*$F$4+G14*$G$4+H14*$H$4+I14*$I$4)</x:f>
      </x:c>
      <x:c r="K14" s="59" t="str">
        <x:f>IF(COUNTA(D14:F14)=0,"",(D14*$D$4+E14*$E$4+F14*$F$4)/SUM($D$4:$F$4))</x:f>
      </x:c>
      <x:c r="L14" s="59" t="str">
        <x:f>IF(COUNTA(G14:H14)=0,"",(G14*$G$4+H14*$H$4)/SUM($G$4:$H$4))</x:f>
      </x:c>
      <x:c r="M14" s="59" t="str">
        <x:f>IF(I14="","",I14)</x:f>
      </x:c>
      <x:c r="N14" s="60" t="str">
        <x:f>IF(J14="","",IF(J14&gt;=75,"Tercapai","Belum Tercapai"))</x:f>
      </x:c>
    </x:row>
    <x:row r="15">
      <x:c r="A15" s="58" t="n">
        <x:v>9</x:v>
      </x:c>
      <x:c r="B15" s="59" t="str"/>
      <x:c r="C15" s="59" t="str"/>
      <x:c r="D15" s="59"/>
      <x:c r="E15" s="59"/>
      <x:c r="F15" s="59"/>
      <x:c r="G15" s="59"/>
      <x:c r="H15" s="59"/>
      <x:c r="I15" s="59"/>
      <x:c r="J15" s="59" t="str">
        <x:f>IF(COUNTA(D15:I15)=0,"",D15*$D$4+E15*$E$4+F15*$F$4+G15*$G$4+H15*$H$4+I15*$I$4)</x:f>
      </x:c>
      <x:c r="K15" s="59" t="str">
        <x:f>IF(COUNTA(D15:F15)=0,"",(D15*$D$4+E15*$E$4+F15*$F$4)/SUM($D$4:$F$4))</x:f>
      </x:c>
      <x:c r="L15" s="59" t="str">
        <x:f>IF(COUNTA(G15:H15)=0,"",(G15*$G$4+H15*$H$4)/SUM($G$4:$H$4))</x:f>
      </x:c>
      <x:c r="M15" s="59" t="str">
        <x:f>IF(I15="","",I15)</x:f>
      </x:c>
      <x:c r="N15" s="60" t="str">
        <x:f>IF(J15="","",IF(J15&gt;=75,"Tercapai","Belum Tercapai"))</x:f>
      </x:c>
    </x:row>
    <x:row r="16">
      <x:c r="A16" s="58" t="n">
        <x:v>10</x:v>
      </x:c>
      <x:c r="B16" s="59" t="str"/>
      <x:c r="C16" s="59" t="str"/>
      <x:c r="D16" s="59"/>
      <x:c r="E16" s="59"/>
      <x:c r="F16" s="59"/>
      <x:c r="G16" s="59"/>
      <x:c r="H16" s="59"/>
      <x:c r="I16" s="59"/>
      <x:c r="J16" s="59" t="str">
        <x:f>IF(COUNTA(D16:I16)=0,"",D16*$D$4+E16*$E$4+F16*$F$4+G16*$G$4+H16*$H$4+I16*$I$4)</x:f>
      </x:c>
      <x:c r="K16" s="59" t="str">
        <x:f>IF(COUNTA(D16:F16)=0,"",(D16*$D$4+E16*$E$4+F16*$F$4)/SUM($D$4:$F$4))</x:f>
      </x:c>
      <x:c r="L16" s="59" t="str">
        <x:f>IF(COUNTA(G16:H16)=0,"",(G16*$G$4+H16*$H$4)/SUM($G$4:$H$4))</x:f>
      </x:c>
      <x:c r="M16" s="59" t="str">
        <x:f>IF(I16="","",I16)</x:f>
      </x:c>
      <x:c r="N16" s="60" t="str">
        <x:f>IF(J16="","",IF(J16&gt;=75,"Tercapai","Belum Tercapai"))</x:f>
      </x:c>
    </x:row>
    <x:row r="17">
      <x:c r="A17" s="58" t="n">
        <x:v>11</x:v>
      </x:c>
      <x:c r="B17" s="59" t="str"/>
      <x:c r="C17" s="59" t="str"/>
      <x:c r="D17" s="59"/>
      <x:c r="E17" s="59"/>
      <x:c r="F17" s="59"/>
      <x:c r="G17" s="59"/>
      <x:c r="H17" s="59"/>
      <x:c r="I17" s="59"/>
      <x:c r="J17" s="59" t="str">
        <x:f>IF(COUNTA(D17:I17)=0,"",D17*$D$4+E17*$E$4+F17*$F$4+G17*$G$4+H17*$H$4+I17*$I$4)</x:f>
      </x:c>
      <x:c r="K17" s="59" t="str">
        <x:f>IF(COUNTA(D17:F17)=0,"",(D17*$D$4+E17*$E$4+F17*$F$4)/SUM($D$4:$F$4))</x:f>
      </x:c>
      <x:c r="L17" s="59" t="str">
        <x:f>IF(COUNTA(G17:H17)=0,"",(G17*$G$4+H17*$H$4)/SUM($G$4:$H$4))</x:f>
      </x:c>
      <x:c r="M17" s="59" t="str">
        <x:f>IF(I17="","",I17)</x:f>
      </x:c>
      <x:c r="N17" s="60" t="str">
        <x:f>IF(J17="","",IF(J17&gt;=75,"Tercapai","Belum Tercapai"))</x:f>
      </x:c>
    </x:row>
    <x:row r="18">
      <x:c r="A18" s="58" t="n">
        <x:v>12</x:v>
      </x:c>
      <x:c r="B18" s="59" t="str"/>
      <x:c r="C18" s="59" t="str"/>
      <x:c r="D18" s="59"/>
      <x:c r="E18" s="59"/>
      <x:c r="F18" s="59"/>
      <x:c r="G18" s="59"/>
      <x:c r="H18" s="59"/>
      <x:c r="I18" s="59"/>
      <x:c r="J18" s="59" t="str">
        <x:f>IF(COUNTA(D18:I18)=0,"",D18*$D$4+E18*$E$4+F18*$F$4+G18*$G$4+H18*$H$4+I18*$I$4)</x:f>
      </x:c>
      <x:c r="K18" s="59" t="str">
        <x:f>IF(COUNTA(D18:F18)=0,"",(D18*$D$4+E18*$E$4+F18*$F$4)/SUM($D$4:$F$4))</x:f>
      </x:c>
      <x:c r="L18" s="59" t="str">
        <x:f>IF(COUNTA(G18:H18)=0,"",(G18*$G$4+H18*$H$4)/SUM($G$4:$H$4))</x:f>
      </x:c>
      <x:c r="M18" s="59" t="str">
        <x:f>IF(I18="","",I18)</x:f>
      </x:c>
      <x:c r="N18" s="60" t="str">
        <x:f>IF(J18="","",IF(J18&gt;=75,"Tercapai","Belum Tercapai"))</x:f>
      </x:c>
    </x:row>
    <x:row r="19">
      <x:c r="A19" s="58" t="n">
        <x:v>13</x:v>
      </x:c>
      <x:c r="B19" s="59" t="str"/>
      <x:c r="C19" s="59" t="str"/>
      <x:c r="D19" s="59"/>
      <x:c r="E19" s="59"/>
      <x:c r="F19" s="59"/>
      <x:c r="G19" s="59"/>
      <x:c r="H19" s="59"/>
      <x:c r="I19" s="59"/>
      <x:c r="J19" s="59" t="str">
        <x:f>IF(COUNTA(D19:I19)=0,"",D19*$D$4+E19*$E$4+F19*$F$4+G19*$G$4+H19*$H$4+I19*$I$4)</x:f>
      </x:c>
      <x:c r="K19" s="59" t="str">
        <x:f>IF(COUNTA(D19:F19)=0,"",(D19*$D$4+E19*$E$4+F19*$F$4)/SUM($D$4:$F$4))</x:f>
      </x:c>
      <x:c r="L19" s="59" t="str">
        <x:f>IF(COUNTA(G19:H19)=0,"",(G19*$G$4+H19*$H$4)/SUM($G$4:$H$4))</x:f>
      </x:c>
      <x:c r="M19" s="59" t="str">
        <x:f>IF(I19="","",I19)</x:f>
      </x:c>
      <x:c r="N19" s="60" t="str">
        <x:f>IF(J19="","",IF(J19&gt;=75,"Tercapai","Belum Tercapai"))</x:f>
      </x:c>
    </x:row>
    <x:row r="20">
      <x:c r="A20" s="58" t="n">
        <x:v>14</x:v>
      </x:c>
      <x:c r="B20" s="59" t="str"/>
      <x:c r="C20" s="59" t="str"/>
      <x:c r="D20" s="59"/>
      <x:c r="E20" s="59"/>
      <x:c r="F20" s="59"/>
      <x:c r="G20" s="59"/>
      <x:c r="H20" s="59"/>
      <x:c r="I20" s="59"/>
      <x:c r="J20" s="59" t="str">
        <x:f>IF(COUNTA(D20:I20)=0,"",D20*$D$4+E20*$E$4+F20*$F$4+G20*$G$4+H20*$H$4+I20*$I$4)</x:f>
      </x:c>
      <x:c r="K20" s="59" t="str">
        <x:f>IF(COUNTA(D20:F20)=0,"",(D20*$D$4+E20*$E$4+F20*$F$4)/SUM($D$4:$F$4))</x:f>
      </x:c>
      <x:c r="L20" s="59" t="str">
        <x:f>IF(COUNTA(G20:H20)=0,"",(G20*$G$4+H20*$H$4)/SUM($G$4:$H$4))</x:f>
      </x:c>
      <x:c r="M20" s="59" t="str">
        <x:f>IF(I20="","",I20)</x:f>
      </x:c>
      <x:c r="N20" s="60" t="str">
        <x:f>IF(J20="","",IF(J20&gt;=75,"Tercapai","Belum Tercapai"))</x:f>
      </x:c>
    </x:row>
    <x:row r="21">
      <x:c r="A21" s="58" t="n">
        <x:v>15</x:v>
      </x:c>
      <x:c r="B21" s="59" t="str"/>
      <x:c r="C21" s="59" t="str"/>
      <x:c r="D21" s="59"/>
      <x:c r="E21" s="59"/>
      <x:c r="F21" s="59"/>
      <x:c r="G21" s="59"/>
      <x:c r="H21" s="59"/>
      <x:c r="I21" s="59"/>
      <x:c r="J21" s="59" t="str">
        <x:f>IF(COUNTA(D21:I21)=0,"",D21*$D$4+E21*$E$4+F21*$F$4+G21*$G$4+H21*$H$4+I21*$I$4)</x:f>
      </x:c>
      <x:c r="K21" s="59" t="str">
        <x:f>IF(COUNTA(D21:F21)=0,"",(D21*$D$4+E21*$E$4+F21*$F$4)/SUM($D$4:$F$4))</x:f>
      </x:c>
      <x:c r="L21" s="59" t="str">
        <x:f>IF(COUNTA(G21:H21)=0,"",(G21*$G$4+H21*$H$4)/SUM($G$4:$H$4))</x:f>
      </x:c>
      <x:c r="M21" s="59" t="str">
        <x:f>IF(I21="","",I21)</x:f>
      </x:c>
      <x:c r="N21" s="60" t="str">
        <x:f>IF(J21="","",IF(J21&gt;=75,"Tercapai","Belum Tercapai"))</x:f>
      </x:c>
    </x:row>
    <x:row r="22">
      <x:c r="A22" s="58" t="n">
        <x:v>16</x:v>
      </x:c>
      <x:c r="B22" s="59" t="str"/>
      <x:c r="C22" s="59" t="str"/>
      <x:c r="D22" s="59"/>
      <x:c r="E22" s="59"/>
      <x:c r="F22" s="59"/>
      <x:c r="G22" s="59"/>
      <x:c r="H22" s="59"/>
      <x:c r="I22" s="59"/>
      <x:c r="J22" s="59" t="str">
        <x:f>IF(COUNTA(D22:I22)=0,"",D22*$D$4+E22*$E$4+F22*$F$4+G22*$G$4+H22*$H$4+I22*$I$4)</x:f>
      </x:c>
      <x:c r="K22" s="59" t="str">
        <x:f>IF(COUNTA(D22:F22)=0,"",(D22*$D$4+E22*$E$4+F22*$F$4)/SUM($D$4:$F$4))</x:f>
      </x:c>
      <x:c r="L22" s="59" t="str">
        <x:f>IF(COUNTA(G22:H22)=0,"",(G22*$G$4+H22*$H$4)/SUM($G$4:$H$4))</x:f>
      </x:c>
      <x:c r="M22" s="59" t="str">
        <x:f>IF(I22="","",I22)</x:f>
      </x:c>
      <x:c r="N22" s="60" t="str">
        <x:f>IF(J22="","",IF(J22&gt;=75,"Tercapai","Belum Tercapai"))</x:f>
      </x:c>
    </x:row>
    <x:row r="23">
      <x:c r="A23" s="58" t="n">
        <x:v>17</x:v>
      </x:c>
      <x:c r="B23" s="59" t="str"/>
      <x:c r="C23" s="59" t="str"/>
      <x:c r="D23" s="59"/>
      <x:c r="E23" s="59"/>
      <x:c r="F23" s="59"/>
      <x:c r="G23" s="59"/>
      <x:c r="H23" s="59"/>
      <x:c r="I23" s="59"/>
      <x:c r="J23" s="59" t="str">
        <x:f>IF(COUNTA(D23:I23)=0,"",D23*$D$4+E23*$E$4+F23*$F$4+G23*$G$4+H23*$H$4+I23*$I$4)</x:f>
      </x:c>
      <x:c r="K23" s="59" t="str">
        <x:f>IF(COUNTA(D23:F23)=0,"",(D23*$D$4+E23*$E$4+F23*$F$4)/SUM($D$4:$F$4))</x:f>
      </x:c>
      <x:c r="L23" s="59" t="str">
        <x:f>IF(COUNTA(G23:H23)=0,"",(G23*$G$4+H23*$H$4)/SUM($G$4:$H$4))</x:f>
      </x:c>
      <x:c r="M23" s="59" t="str">
        <x:f>IF(I23="","",I23)</x:f>
      </x:c>
      <x:c r="N23" s="60" t="str">
        <x:f>IF(J23="","",IF(J23&gt;=75,"Tercapai","Belum Tercapai"))</x:f>
      </x:c>
    </x:row>
    <x:row r="24">
      <x:c r="A24" s="58" t="n">
        <x:v>18</x:v>
      </x:c>
      <x:c r="B24" s="59" t="str"/>
      <x:c r="C24" s="59" t="str"/>
      <x:c r="D24" s="59"/>
      <x:c r="E24" s="59"/>
      <x:c r="F24" s="59"/>
      <x:c r="G24" s="59"/>
      <x:c r="H24" s="59"/>
      <x:c r="I24" s="59"/>
      <x:c r="J24" s="59" t="str">
        <x:f>IF(COUNTA(D24:I24)=0,"",D24*$D$4+E24*$E$4+F24*$F$4+G24*$G$4+H24*$H$4+I24*$I$4)</x:f>
      </x:c>
      <x:c r="K24" s="59" t="str">
        <x:f>IF(COUNTA(D24:F24)=0,"",(D24*$D$4+E24*$E$4+F24*$F$4)/SUM($D$4:$F$4))</x:f>
      </x:c>
      <x:c r="L24" s="59" t="str">
        <x:f>IF(COUNTA(G24:H24)=0,"",(G24*$G$4+H24*$H$4)/SUM($G$4:$H$4))</x:f>
      </x:c>
      <x:c r="M24" s="59" t="str">
        <x:f>IF(I24="","",I24)</x:f>
      </x:c>
      <x:c r="N24" s="60" t="str">
        <x:f>IF(J24="","",IF(J24&gt;=75,"Tercapai","Belum Tercapai"))</x:f>
      </x:c>
    </x:row>
    <x:row r="25">
      <x:c r="A25" s="58" t="n">
        <x:v>19</x:v>
      </x:c>
      <x:c r="B25" s="59" t="str"/>
      <x:c r="C25" s="59" t="str"/>
      <x:c r="D25" s="59"/>
      <x:c r="E25" s="59"/>
      <x:c r="F25" s="59"/>
      <x:c r="G25" s="59"/>
      <x:c r="H25" s="59"/>
      <x:c r="I25" s="59"/>
      <x:c r="J25" s="59" t="str">
        <x:f>IF(COUNTA(D25:I25)=0,"",D25*$D$4+E25*$E$4+F25*$F$4+G25*$G$4+H25*$H$4+I25*$I$4)</x:f>
      </x:c>
      <x:c r="K25" s="59" t="str">
        <x:f>IF(COUNTA(D25:F25)=0,"",(D25*$D$4+E25*$E$4+F25*$F$4)/SUM($D$4:$F$4))</x:f>
      </x:c>
      <x:c r="L25" s="59" t="str">
        <x:f>IF(COUNTA(G25:H25)=0,"",(G25*$G$4+H25*$H$4)/SUM($G$4:$H$4))</x:f>
      </x:c>
      <x:c r="M25" s="59" t="str">
        <x:f>IF(I25="","",I25)</x:f>
      </x:c>
      <x:c r="N25" s="60" t="str">
        <x:f>IF(J25="","",IF(J25&gt;=75,"Tercapai","Belum Tercapai"))</x:f>
      </x:c>
    </x:row>
    <x:row r="26">
      <x:c r="A26" s="61" t="n">
        <x:v>20</x:v>
      </x:c>
      <x:c r="B26" s="62" t="str"/>
      <x:c r="C26" s="62" t="str"/>
      <x:c r="D26" s="62"/>
      <x:c r="E26" s="62"/>
      <x:c r="F26" s="62"/>
      <x:c r="G26" s="62"/>
      <x:c r="H26" s="62"/>
      <x:c r="I26" s="62"/>
      <x:c r="J26" s="62" t="str">
        <x:f>IF(COUNTA(D26:I26)=0,"",D26*$D$4+E26*$E$4+F26*$F$4+G26*$G$4+H26*$H$4+I26*$I$4)</x:f>
      </x:c>
      <x:c r="K26" s="62" t="str">
        <x:f>IF(COUNTA(D26:F26)=0,"",(D26*$D$4+E26*$E$4+F26*$F$4)/SUM($D$4:$F$4))</x:f>
      </x:c>
      <x:c r="L26" s="62" t="str">
        <x:f>IF(COUNTA(G26:H26)=0,"",(G26*$G$4+H26*$H$4)/SUM($G$4:$H$4))</x:f>
      </x:c>
      <x:c r="M26" s="62" t="str">
        <x:f>IF(I26="","",I26)</x:f>
      </x:c>
      <x:c r="N26" s="63" t="str">
        <x:f>IF(J26="","",IF(J26&gt;=75,"Tercapai","Belum Tercapai"))</x:f>
      </x:c>
    </x:row>
    <x:row r="28">
      <x:c r="A28" s="21" t="str">
        <x:v>Ringkasan Kelas</x:v>
      </x:c>
      <x:c r="B28" s="22"/>
      <x:c r="C28" s="22"/>
      <x:c r="D28" s="22"/>
      <x:c r="E28" s="22"/>
      <x:c r="F28" s="23"/>
    </x:row>
    <x:row r="29">
      <x:c r="A29" s="235" t="str">
        <x:v>Rata-rata Nilai Akhir</x:v>
      </x:c>
      <x:c r="B29" s="236" t="str">
        <x:f>IFERROR(AVERAGE(J7:J26),"")</x:f>
      </x:c>
      <x:c r="D29" s="235" t="str">
        <x:v>Target CPL</x:v>
      </x:c>
      <x:c r="E29" s="236" t="n">
        <x:v>75</x:v>
      </x:c>
    </x:row>
    <x:row r="30">
      <x:c r="A30" s="58" t="str">
        <x:v>Rata-rata CPMK1</x:v>
      </x:c>
      <x:c r="B30" s="60" t="str">
        <x:f>IFERROR(AVERAGE(K7:K26),"")</x:f>
      </x:c>
      <x:c r="D30" s="61" t="str">
        <x:v>Persentase mahasiswa tercapai</x:v>
      </x:c>
      <x:c r="E30" s="241" t="str">
        <x:f>IFERROR(COUNTIF(N7:N26,"Tercapai")/COUNT(J7:J26),"")</x:f>
      </x:c>
    </x:row>
    <x:row r="31">
      <x:c r="A31" s="58" t="str">
        <x:v>Rata-rata CPMK2</x:v>
      </x:c>
      <x:c r="B31" s="60" t="str">
        <x:f>IFERROR(AVERAGE(L7:L26),"")</x:f>
      </x:c>
    </x:row>
    <x:row r="32">
      <x:c r="A32" s="61" t="str">
        <x:v>Rata-rata CPMK3</x:v>
      </x:c>
      <x:c r="B32" s="63" t="str">
        <x:f>IFERROR(AVERAGE(M7:M26),"")</x:f>
      </x:c>
    </x:row>
  </x:sheetData>
  <x:mergeCells>
    <x:mergeCell ref="A1:N1"/>
    <x:mergeCell ref="A2:N2"/>
    <x:mergeCell ref="A28:F28"/>
  </x:mergeCells>
  <x:conditionalFormatting sqref="N7:N26">
    <x:cfRule type="expression" dxfId="10" priority="1">
      <x:formula>N7="Tercapai"</x:formula>
    </x:cfRule>
    <x:cfRule type="expression" dxfId="11" priority="2">
      <x:formula>N7="Belum Tercapai"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</x:cols>
  <x:sheetData>
    <x:row r="1" ht="28" customHeight="1">
      <x:c r="A1" s="5" t="str">
        <x:v>TEMPLATE EVALUASI OBE - STI-635 Desain dan Evaluasi Antarmuka Pengguna (UI/UX)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15" t="str">
        <x:v>CPL dibebankan: CPL04, CPL09, CPL10 | Isi nilai 0-100 pada kolom Tugas s.d. Project. Target ketercapaian default = 75.</x:v>
      </x:c>
      <x:c r="B2" s="215"/>
      <x:c r="C2" s="215"/>
      <x:c r="D2" s="215"/>
      <x:c r="E2" s="215"/>
      <x:c r="F2" s="215"/>
      <x:c r="G2" s="215"/>
      <x:c r="H2" s="215"/>
      <x:c r="I2" s="215"/>
      <x:c r="J2" s="215"/>
      <x:c r="K2" s="215"/>
      <x:c r="L2" s="215"/>
      <x:c r="M2" s="215"/>
      <x:c r="N2" s="215"/>
    </x:row>
    <x:row r="3">
      <x:c r="A3" s="21" t="str">
        <x:v>Komponen</x:v>
      </x:c>
      <x:c r="B3" s="22" t="str">
        <x:v>Bobot</x:v>
      </x:c>
      <x:c r="C3" s="22" t="str">
        <x:v>Kelompok CPMK</x:v>
      </x:c>
      <x:c r="D3" s="22" t="str">
        <x:v>Tugas</x:v>
      </x:c>
      <x:c r="E3" s="22" t="str">
        <x:v>Kuis</x:v>
      </x:c>
      <x:c r="F3" s="22" t="str">
        <x:v>UTS</x:v>
      </x:c>
      <x:c r="G3" s="22" t="str">
        <x:v>UAS</x:v>
      </x:c>
      <x:c r="H3" s="22" t="str">
        <x:v>Aktivitas</x:v>
      </x:c>
      <x:c r="I3" s="22" t="str">
        <x:v>Project</x:v>
      </x:c>
      <x:c r="J3" s="22" t="str">
        <x:v>Nilai Akhir</x:v>
      </x:c>
      <x:c r="K3" s="22" t="str">
        <x:v>CPMK1</x:v>
      </x:c>
      <x:c r="L3" s="22" t="str">
        <x:v>CPMK2</x:v>
      </x:c>
      <x:c r="M3" s="22" t="str">
        <x:v>CPMK3</x:v>
      </x:c>
      <x:c r="N3" s="23" t="str">
        <x:v>Status</x:v>
      </x:c>
    </x:row>
    <x:row r="4">
      <x:c r="A4" s="21" t="str">
        <x:v>Bobot (%)</x:v>
      </x:c>
      <x:c r="B4" s="22" t="n">
        <x:v>100</x:v>
      </x:c>
      <x:c r="C4" s="22" t="str"/>
      <x:c r="D4" s="224" t="n">
        <x:v>0.15</x:v>
      </x:c>
      <x:c r="E4" s="224" t="n">
        <x:v>0.1</x:v>
      </x:c>
      <x:c r="F4" s="224" t="n">
        <x:v>0.2</x:v>
      </x:c>
      <x:c r="G4" s="224" t="n">
        <x:v>0.2</x:v>
      </x:c>
      <x:c r="H4" s="224" t="n">
        <x:v>0.1</x:v>
      </x:c>
      <x:c r="I4" s="224" t="n">
        <x:v>0.25</x:v>
      </x:c>
      <x:c r="J4" s="22" t="str">
        <x:v>Target</x:v>
      </x:c>
      <x:c r="K4" s="22" t="n">
        <x:v>75</x:v>
      </x:c>
      <x:c r="L4" s="22" t="n">
        <x:v>75</x:v>
      </x:c>
      <x:c r="M4" s="22" t="n">
        <x:v>75</x:v>
      </x:c>
      <x:c r="N4" s="23" t="str"/>
    </x:row>
    <x:row r="6">
      <x:c r="A6" s="55" t="str">
        <x:v>No</x:v>
      </x:c>
      <x:c r="B6" s="56" t="str">
        <x:v>NIM</x:v>
      </x:c>
      <x:c r="C6" s="56" t="str">
        <x:v>Nama Mahasiswa</x:v>
      </x:c>
      <x:c r="D6" s="56" t="str">
        <x:v>Tugas</x:v>
      </x:c>
      <x:c r="E6" s="56" t="str">
        <x:v>Kuis</x:v>
      </x:c>
      <x:c r="F6" s="56" t="str">
        <x:v>UTS</x:v>
      </x:c>
      <x:c r="G6" s="56" t="str">
        <x:v>UAS</x:v>
      </x:c>
      <x:c r="H6" s="56" t="str">
        <x:v>Aktivitas</x:v>
      </x:c>
      <x:c r="I6" s="56" t="str">
        <x:v>Project</x:v>
      </x:c>
      <x:c r="J6" s="56" t="str">
        <x:v>Nilai Akhir</x:v>
      </x:c>
      <x:c r="K6" s="56" t="str">
        <x:v>CPMK1</x:v>
      </x:c>
      <x:c r="L6" s="56" t="str">
        <x:v>CPMK2</x:v>
      </x:c>
      <x:c r="M6" s="56" t="str">
        <x:v>CPMK3</x:v>
      </x:c>
      <x:c r="N6" s="57" t="str">
        <x:v>Status CPL</x:v>
      </x:c>
    </x:row>
    <x:row r="7">
      <x:c r="A7" s="58" t="n">
        <x:v>1</x:v>
      </x:c>
      <x:c r="B7" s="59" t="str"/>
      <x:c r="C7" s="59" t="str"/>
      <x:c r="D7" s="59"/>
      <x:c r="E7" s="59"/>
      <x:c r="F7" s="59"/>
      <x:c r="G7" s="59"/>
      <x:c r="H7" s="59"/>
      <x:c r="I7" s="59"/>
      <x:c r="J7" s="59" t="str">
        <x:f>IF(COUNTA(D7:I7)=0,"",D7*$D$4+E7*$E$4+F7*$F$4+G7*$G$4+H7*$H$4+I7*$I$4)</x:f>
      </x:c>
      <x:c r="K7" s="59" t="str">
        <x:f>IF(COUNTA(D7:F7)=0,"",(D7*$D$4+E7*$E$4+F7*$F$4)/SUM($D$4:$F$4))</x:f>
      </x:c>
      <x:c r="L7" s="59" t="str">
        <x:f>IF(COUNTA(G7:H7)=0,"",(G7*$G$4+H7*$H$4)/SUM($G$4:$H$4))</x:f>
      </x:c>
      <x:c r="M7" s="59" t="str">
        <x:f>IF(I7="","",I7)</x:f>
      </x:c>
      <x:c r="N7" s="60" t="str">
        <x:f>IF(J7="","",IF(J7&gt;=75,"Tercapai","Belum Tercapai"))</x:f>
      </x:c>
    </x:row>
    <x:row r="8">
      <x:c r="A8" s="58" t="n">
        <x:v>2</x:v>
      </x:c>
      <x:c r="B8" s="59" t="str"/>
      <x:c r="C8" s="59" t="str"/>
      <x:c r="D8" s="59"/>
      <x:c r="E8" s="59"/>
      <x:c r="F8" s="59"/>
      <x:c r="G8" s="59"/>
      <x:c r="H8" s="59"/>
      <x:c r="I8" s="59"/>
      <x:c r="J8" s="59" t="str">
        <x:f>IF(COUNTA(D8:I8)=0,"",D8*$D$4+E8*$E$4+F8*$F$4+G8*$G$4+H8*$H$4+I8*$I$4)</x:f>
      </x:c>
      <x:c r="K8" s="59" t="str">
        <x:f>IF(COUNTA(D8:F8)=0,"",(D8*$D$4+E8*$E$4+F8*$F$4)/SUM($D$4:$F$4))</x:f>
      </x:c>
      <x:c r="L8" s="59" t="str">
        <x:f>IF(COUNTA(G8:H8)=0,"",(G8*$G$4+H8*$H$4)/SUM($G$4:$H$4))</x:f>
      </x:c>
      <x:c r="M8" s="59" t="str">
        <x:f>IF(I8="","",I8)</x:f>
      </x:c>
      <x:c r="N8" s="60" t="str">
        <x:f>IF(J8="","",IF(J8&gt;=75,"Tercapai","Belum Tercapai"))</x:f>
      </x:c>
    </x:row>
    <x:row r="9">
      <x:c r="A9" s="58" t="n">
        <x:v>3</x:v>
      </x:c>
      <x:c r="B9" s="59" t="str"/>
      <x:c r="C9" s="59" t="str"/>
      <x:c r="D9" s="59"/>
      <x:c r="E9" s="59"/>
      <x:c r="F9" s="59"/>
      <x:c r="G9" s="59"/>
      <x:c r="H9" s="59"/>
      <x:c r="I9" s="59"/>
      <x:c r="J9" s="59" t="str">
        <x:f>IF(COUNTA(D9:I9)=0,"",D9*$D$4+E9*$E$4+F9*$F$4+G9*$G$4+H9*$H$4+I9*$I$4)</x:f>
      </x:c>
      <x:c r="K9" s="59" t="str">
        <x:f>IF(COUNTA(D9:F9)=0,"",(D9*$D$4+E9*$E$4+F9*$F$4)/SUM($D$4:$F$4))</x:f>
      </x:c>
      <x:c r="L9" s="59" t="str">
        <x:f>IF(COUNTA(G9:H9)=0,"",(G9*$G$4+H9*$H$4)/SUM($G$4:$H$4))</x:f>
      </x:c>
      <x:c r="M9" s="59" t="str">
        <x:f>IF(I9="","",I9)</x:f>
      </x:c>
      <x:c r="N9" s="60" t="str">
        <x:f>IF(J9="","",IF(J9&gt;=75,"Tercapai","Belum Tercapai"))</x:f>
      </x:c>
    </x:row>
    <x:row r="10">
      <x:c r="A10" s="58" t="n">
        <x:v>4</x:v>
      </x:c>
      <x:c r="B10" s="59" t="str"/>
      <x:c r="C10" s="59" t="str"/>
      <x:c r="D10" s="59"/>
      <x:c r="E10" s="59"/>
      <x:c r="F10" s="59"/>
      <x:c r="G10" s="59"/>
      <x:c r="H10" s="59"/>
      <x:c r="I10" s="59"/>
      <x:c r="J10" s="59" t="str">
        <x:f>IF(COUNTA(D10:I10)=0,"",D10*$D$4+E10*$E$4+F10*$F$4+G10*$G$4+H10*$H$4+I10*$I$4)</x:f>
      </x:c>
      <x:c r="K10" s="59" t="str">
        <x:f>IF(COUNTA(D10:F10)=0,"",(D10*$D$4+E10*$E$4+F10*$F$4)/SUM($D$4:$F$4))</x:f>
      </x:c>
      <x:c r="L10" s="59" t="str">
        <x:f>IF(COUNTA(G10:H10)=0,"",(G10*$G$4+H10*$H$4)/SUM($G$4:$H$4))</x:f>
      </x:c>
      <x:c r="M10" s="59" t="str">
        <x:f>IF(I10="","",I10)</x:f>
      </x:c>
      <x:c r="N10" s="60" t="str">
        <x:f>IF(J10="","",IF(J10&gt;=75,"Tercapai","Belum Tercapai"))</x:f>
      </x:c>
    </x:row>
    <x:row r="11">
      <x:c r="A11" s="58" t="n">
        <x:v>5</x:v>
      </x:c>
      <x:c r="B11" s="59" t="str"/>
      <x:c r="C11" s="59" t="str"/>
      <x:c r="D11" s="59"/>
      <x:c r="E11" s="59"/>
      <x:c r="F11" s="59"/>
      <x:c r="G11" s="59"/>
      <x:c r="H11" s="59"/>
      <x:c r="I11" s="59"/>
      <x:c r="J11" s="59" t="str">
        <x:f>IF(COUNTA(D11:I11)=0,"",D11*$D$4+E11*$E$4+F11*$F$4+G11*$G$4+H11*$H$4+I11*$I$4)</x:f>
      </x:c>
      <x:c r="K11" s="59" t="str">
        <x:f>IF(COUNTA(D11:F11)=0,"",(D11*$D$4+E11*$E$4+F11*$F$4)/SUM($D$4:$F$4))</x:f>
      </x:c>
      <x:c r="L11" s="59" t="str">
        <x:f>IF(COUNTA(G11:H11)=0,"",(G11*$G$4+H11*$H$4)/SUM($G$4:$H$4))</x:f>
      </x:c>
      <x:c r="M11" s="59" t="str">
        <x:f>IF(I11="","",I11)</x:f>
      </x:c>
      <x:c r="N11" s="60" t="str">
        <x:f>IF(J11="","",IF(J11&gt;=75,"Tercapai","Belum Tercapai"))</x:f>
      </x:c>
    </x:row>
    <x:row r="12">
      <x:c r="A12" s="58" t="n">
        <x:v>6</x:v>
      </x:c>
      <x:c r="B12" s="59" t="str"/>
      <x:c r="C12" s="59" t="str"/>
      <x:c r="D12" s="59"/>
      <x:c r="E12" s="59"/>
      <x:c r="F12" s="59"/>
      <x:c r="G12" s="59"/>
      <x:c r="H12" s="59"/>
      <x:c r="I12" s="59"/>
      <x:c r="J12" s="59" t="str">
        <x:f>IF(COUNTA(D12:I12)=0,"",D12*$D$4+E12*$E$4+F12*$F$4+G12*$G$4+H12*$H$4+I12*$I$4)</x:f>
      </x:c>
      <x:c r="K12" s="59" t="str">
        <x:f>IF(COUNTA(D12:F12)=0,"",(D12*$D$4+E12*$E$4+F12*$F$4)/SUM($D$4:$F$4))</x:f>
      </x:c>
      <x:c r="L12" s="59" t="str">
        <x:f>IF(COUNTA(G12:H12)=0,"",(G12*$G$4+H12*$H$4)/SUM($G$4:$H$4))</x:f>
      </x:c>
      <x:c r="M12" s="59" t="str">
        <x:f>IF(I12="","",I12)</x:f>
      </x:c>
      <x:c r="N12" s="60" t="str">
        <x:f>IF(J12="","",IF(J12&gt;=75,"Tercapai","Belum Tercapai"))</x:f>
      </x:c>
    </x:row>
    <x:row r="13">
      <x:c r="A13" s="58" t="n">
        <x:v>7</x:v>
      </x:c>
      <x:c r="B13" s="59" t="str"/>
      <x:c r="C13" s="59" t="str"/>
      <x:c r="D13" s="59"/>
      <x:c r="E13" s="59"/>
      <x:c r="F13" s="59"/>
      <x:c r="G13" s="59"/>
      <x:c r="H13" s="59"/>
      <x:c r="I13" s="59"/>
      <x:c r="J13" s="59" t="str">
        <x:f>IF(COUNTA(D13:I13)=0,"",D13*$D$4+E13*$E$4+F13*$F$4+G13*$G$4+H13*$H$4+I13*$I$4)</x:f>
      </x:c>
      <x:c r="K13" s="59" t="str">
        <x:f>IF(COUNTA(D13:F13)=0,"",(D13*$D$4+E13*$E$4+F13*$F$4)/SUM($D$4:$F$4))</x:f>
      </x:c>
      <x:c r="L13" s="59" t="str">
        <x:f>IF(COUNTA(G13:H13)=0,"",(G13*$G$4+H13*$H$4)/SUM($G$4:$H$4))</x:f>
      </x:c>
      <x:c r="M13" s="59" t="str">
        <x:f>IF(I13="","",I13)</x:f>
      </x:c>
      <x:c r="N13" s="60" t="str">
        <x:f>IF(J13="","",IF(J13&gt;=75,"Tercapai","Belum Tercapai"))</x:f>
      </x:c>
    </x:row>
    <x:row r="14">
      <x:c r="A14" s="58" t="n">
        <x:v>8</x:v>
      </x:c>
      <x:c r="B14" s="59" t="str"/>
      <x:c r="C14" s="59" t="str"/>
      <x:c r="D14" s="59"/>
      <x:c r="E14" s="59"/>
      <x:c r="F14" s="59"/>
      <x:c r="G14" s="59"/>
      <x:c r="H14" s="59"/>
      <x:c r="I14" s="59"/>
      <x:c r="J14" s="59" t="str">
        <x:f>IF(COUNTA(D14:I14)=0,"",D14*$D$4+E14*$E$4+F14*$F$4+G14*$G$4+H14*$H$4+I14*$I$4)</x:f>
      </x:c>
      <x:c r="K14" s="59" t="str">
        <x:f>IF(COUNTA(D14:F14)=0,"",(D14*$D$4+E14*$E$4+F14*$F$4)/SUM($D$4:$F$4))</x:f>
      </x:c>
      <x:c r="L14" s="59" t="str">
        <x:f>IF(COUNTA(G14:H14)=0,"",(G14*$G$4+H14*$H$4)/SUM($G$4:$H$4))</x:f>
      </x:c>
      <x:c r="M14" s="59" t="str">
        <x:f>IF(I14="","",I14)</x:f>
      </x:c>
      <x:c r="N14" s="60" t="str">
        <x:f>IF(J14="","",IF(J14&gt;=75,"Tercapai","Belum Tercapai"))</x:f>
      </x:c>
    </x:row>
    <x:row r="15">
      <x:c r="A15" s="58" t="n">
        <x:v>9</x:v>
      </x:c>
      <x:c r="B15" s="59" t="str"/>
      <x:c r="C15" s="59" t="str"/>
      <x:c r="D15" s="59"/>
      <x:c r="E15" s="59"/>
      <x:c r="F15" s="59"/>
      <x:c r="G15" s="59"/>
      <x:c r="H15" s="59"/>
      <x:c r="I15" s="59"/>
      <x:c r="J15" s="59" t="str">
        <x:f>IF(COUNTA(D15:I15)=0,"",D15*$D$4+E15*$E$4+F15*$F$4+G15*$G$4+H15*$H$4+I15*$I$4)</x:f>
      </x:c>
      <x:c r="K15" s="59" t="str">
        <x:f>IF(COUNTA(D15:F15)=0,"",(D15*$D$4+E15*$E$4+F15*$F$4)/SUM($D$4:$F$4))</x:f>
      </x:c>
      <x:c r="L15" s="59" t="str">
        <x:f>IF(COUNTA(G15:H15)=0,"",(G15*$G$4+H15*$H$4)/SUM($G$4:$H$4))</x:f>
      </x:c>
      <x:c r="M15" s="59" t="str">
        <x:f>IF(I15="","",I15)</x:f>
      </x:c>
      <x:c r="N15" s="60" t="str">
        <x:f>IF(J15="","",IF(J15&gt;=75,"Tercapai","Belum Tercapai"))</x:f>
      </x:c>
    </x:row>
    <x:row r="16">
      <x:c r="A16" s="58" t="n">
        <x:v>10</x:v>
      </x:c>
      <x:c r="B16" s="59" t="str"/>
      <x:c r="C16" s="59" t="str"/>
      <x:c r="D16" s="59"/>
      <x:c r="E16" s="59"/>
      <x:c r="F16" s="59"/>
      <x:c r="G16" s="59"/>
      <x:c r="H16" s="59"/>
      <x:c r="I16" s="59"/>
      <x:c r="J16" s="59" t="str">
        <x:f>IF(COUNTA(D16:I16)=0,"",D16*$D$4+E16*$E$4+F16*$F$4+G16*$G$4+H16*$H$4+I16*$I$4)</x:f>
      </x:c>
      <x:c r="K16" s="59" t="str">
        <x:f>IF(COUNTA(D16:F16)=0,"",(D16*$D$4+E16*$E$4+F16*$F$4)/SUM($D$4:$F$4))</x:f>
      </x:c>
      <x:c r="L16" s="59" t="str">
        <x:f>IF(COUNTA(G16:H16)=0,"",(G16*$G$4+H16*$H$4)/SUM($G$4:$H$4))</x:f>
      </x:c>
      <x:c r="M16" s="59" t="str">
        <x:f>IF(I16="","",I16)</x:f>
      </x:c>
      <x:c r="N16" s="60" t="str">
        <x:f>IF(J16="","",IF(J16&gt;=75,"Tercapai","Belum Tercapai"))</x:f>
      </x:c>
    </x:row>
    <x:row r="17">
      <x:c r="A17" s="58" t="n">
        <x:v>11</x:v>
      </x:c>
      <x:c r="B17" s="59" t="str"/>
      <x:c r="C17" s="59" t="str"/>
      <x:c r="D17" s="59"/>
      <x:c r="E17" s="59"/>
      <x:c r="F17" s="59"/>
      <x:c r="G17" s="59"/>
      <x:c r="H17" s="59"/>
      <x:c r="I17" s="59"/>
      <x:c r="J17" s="59" t="str">
        <x:f>IF(COUNTA(D17:I17)=0,"",D17*$D$4+E17*$E$4+F17*$F$4+G17*$G$4+H17*$H$4+I17*$I$4)</x:f>
      </x:c>
      <x:c r="K17" s="59" t="str">
        <x:f>IF(COUNTA(D17:F17)=0,"",(D17*$D$4+E17*$E$4+F17*$F$4)/SUM($D$4:$F$4))</x:f>
      </x:c>
      <x:c r="L17" s="59" t="str">
        <x:f>IF(COUNTA(G17:H17)=0,"",(G17*$G$4+H17*$H$4)/SUM($G$4:$H$4))</x:f>
      </x:c>
      <x:c r="M17" s="59" t="str">
        <x:f>IF(I17="","",I17)</x:f>
      </x:c>
      <x:c r="N17" s="60" t="str">
        <x:f>IF(J17="","",IF(J17&gt;=75,"Tercapai","Belum Tercapai"))</x:f>
      </x:c>
    </x:row>
    <x:row r="18">
      <x:c r="A18" s="58" t="n">
        <x:v>12</x:v>
      </x:c>
      <x:c r="B18" s="59" t="str"/>
      <x:c r="C18" s="59" t="str"/>
      <x:c r="D18" s="59"/>
      <x:c r="E18" s="59"/>
      <x:c r="F18" s="59"/>
      <x:c r="G18" s="59"/>
      <x:c r="H18" s="59"/>
      <x:c r="I18" s="59"/>
      <x:c r="J18" s="59" t="str">
        <x:f>IF(COUNTA(D18:I18)=0,"",D18*$D$4+E18*$E$4+F18*$F$4+G18*$G$4+H18*$H$4+I18*$I$4)</x:f>
      </x:c>
      <x:c r="K18" s="59" t="str">
        <x:f>IF(COUNTA(D18:F18)=0,"",(D18*$D$4+E18*$E$4+F18*$F$4)/SUM($D$4:$F$4))</x:f>
      </x:c>
      <x:c r="L18" s="59" t="str">
        <x:f>IF(COUNTA(G18:H18)=0,"",(G18*$G$4+H18*$H$4)/SUM($G$4:$H$4))</x:f>
      </x:c>
      <x:c r="M18" s="59" t="str">
        <x:f>IF(I18="","",I18)</x:f>
      </x:c>
      <x:c r="N18" s="60" t="str">
        <x:f>IF(J18="","",IF(J18&gt;=75,"Tercapai","Belum Tercapai"))</x:f>
      </x:c>
    </x:row>
    <x:row r="19">
      <x:c r="A19" s="58" t="n">
        <x:v>13</x:v>
      </x:c>
      <x:c r="B19" s="59" t="str"/>
      <x:c r="C19" s="59" t="str"/>
      <x:c r="D19" s="59"/>
      <x:c r="E19" s="59"/>
      <x:c r="F19" s="59"/>
      <x:c r="G19" s="59"/>
      <x:c r="H19" s="59"/>
      <x:c r="I19" s="59"/>
      <x:c r="J19" s="59" t="str">
        <x:f>IF(COUNTA(D19:I19)=0,"",D19*$D$4+E19*$E$4+F19*$F$4+G19*$G$4+H19*$H$4+I19*$I$4)</x:f>
      </x:c>
      <x:c r="K19" s="59" t="str">
        <x:f>IF(COUNTA(D19:F19)=0,"",(D19*$D$4+E19*$E$4+F19*$F$4)/SUM($D$4:$F$4))</x:f>
      </x:c>
      <x:c r="L19" s="59" t="str">
        <x:f>IF(COUNTA(G19:H19)=0,"",(G19*$G$4+H19*$H$4)/SUM($G$4:$H$4))</x:f>
      </x:c>
      <x:c r="M19" s="59" t="str">
        <x:f>IF(I19="","",I19)</x:f>
      </x:c>
      <x:c r="N19" s="60" t="str">
        <x:f>IF(J19="","",IF(J19&gt;=75,"Tercapai","Belum Tercapai"))</x:f>
      </x:c>
    </x:row>
    <x:row r="20">
      <x:c r="A20" s="58" t="n">
        <x:v>14</x:v>
      </x:c>
      <x:c r="B20" s="59" t="str"/>
      <x:c r="C20" s="59" t="str"/>
      <x:c r="D20" s="59"/>
      <x:c r="E20" s="59"/>
      <x:c r="F20" s="59"/>
      <x:c r="G20" s="59"/>
      <x:c r="H20" s="59"/>
      <x:c r="I20" s="59"/>
      <x:c r="J20" s="59" t="str">
        <x:f>IF(COUNTA(D20:I20)=0,"",D20*$D$4+E20*$E$4+F20*$F$4+G20*$G$4+H20*$H$4+I20*$I$4)</x:f>
      </x:c>
      <x:c r="K20" s="59" t="str">
        <x:f>IF(COUNTA(D20:F20)=0,"",(D20*$D$4+E20*$E$4+F20*$F$4)/SUM($D$4:$F$4))</x:f>
      </x:c>
      <x:c r="L20" s="59" t="str">
        <x:f>IF(COUNTA(G20:H20)=0,"",(G20*$G$4+H20*$H$4)/SUM($G$4:$H$4))</x:f>
      </x:c>
      <x:c r="M20" s="59" t="str">
        <x:f>IF(I20="","",I20)</x:f>
      </x:c>
      <x:c r="N20" s="60" t="str">
        <x:f>IF(J20="","",IF(J20&gt;=75,"Tercapai","Belum Tercapai"))</x:f>
      </x:c>
    </x:row>
    <x:row r="21">
      <x:c r="A21" s="58" t="n">
        <x:v>15</x:v>
      </x:c>
      <x:c r="B21" s="59" t="str"/>
      <x:c r="C21" s="59" t="str"/>
      <x:c r="D21" s="59"/>
      <x:c r="E21" s="59"/>
      <x:c r="F21" s="59"/>
      <x:c r="G21" s="59"/>
      <x:c r="H21" s="59"/>
      <x:c r="I21" s="59"/>
      <x:c r="J21" s="59" t="str">
        <x:f>IF(COUNTA(D21:I21)=0,"",D21*$D$4+E21*$E$4+F21*$F$4+G21*$G$4+H21*$H$4+I21*$I$4)</x:f>
      </x:c>
      <x:c r="K21" s="59" t="str">
        <x:f>IF(COUNTA(D21:F21)=0,"",(D21*$D$4+E21*$E$4+F21*$F$4)/SUM($D$4:$F$4))</x:f>
      </x:c>
      <x:c r="L21" s="59" t="str">
        <x:f>IF(COUNTA(G21:H21)=0,"",(G21*$G$4+H21*$H$4)/SUM($G$4:$H$4))</x:f>
      </x:c>
      <x:c r="M21" s="59" t="str">
        <x:f>IF(I21="","",I21)</x:f>
      </x:c>
      <x:c r="N21" s="60" t="str">
        <x:f>IF(J21="","",IF(J21&gt;=75,"Tercapai","Belum Tercapai"))</x:f>
      </x:c>
    </x:row>
    <x:row r="22">
      <x:c r="A22" s="58" t="n">
        <x:v>16</x:v>
      </x:c>
      <x:c r="B22" s="59" t="str"/>
      <x:c r="C22" s="59" t="str"/>
      <x:c r="D22" s="59"/>
      <x:c r="E22" s="59"/>
      <x:c r="F22" s="59"/>
      <x:c r="G22" s="59"/>
      <x:c r="H22" s="59"/>
      <x:c r="I22" s="59"/>
      <x:c r="J22" s="59" t="str">
        <x:f>IF(COUNTA(D22:I22)=0,"",D22*$D$4+E22*$E$4+F22*$F$4+G22*$G$4+H22*$H$4+I22*$I$4)</x:f>
      </x:c>
      <x:c r="K22" s="59" t="str">
        <x:f>IF(COUNTA(D22:F22)=0,"",(D22*$D$4+E22*$E$4+F22*$F$4)/SUM($D$4:$F$4))</x:f>
      </x:c>
      <x:c r="L22" s="59" t="str">
        <x:f>IF(COUNTA(G22:H22)=0,"",(G22*$G$4+H22*$H$4)/SUM($G$4:$H$4))</x:f>
      </x:c>
      <x:c r="M22" s="59" t="str">
        <x:f>IF(I22="","",I22)</x:f>
      </x:c>
      <x:c r="N22" s="60" t="str">
        <x:f>IF(J22="","",IF(J22&gt;=75,"Tercapai","Belum Tercapai"))</x:f>
      </x:c>
    </x:row>
    <x:row r="23">
      <x:c r="A23" s="58" t="n">
        <x:v>17</x:v>
      </x:c>
      <x:c r="B23" s="59" t="str"/>
      <x:c r="C23" s="59" t="str"/>
      <x:c r="D23" s="59"/>
      <x:c r="E23" s="59"/>
      <x:c r="F23" s="59"/>
      <x:c r="G23" s="59"/>
      <x:c r="H23" s="59"/>
      <x:c r="I23" s="59"/>
      <x:c r="J23" s="59" t="str">
        <x:f>IF(COUNTA(D23:I23)=0,"",D23*$D$4+E23*$E$4+F23*$F$4+G23*$G$4+H23*$H$4+I23*$I$4)</x:f>
      </x:c>
      <x:c r="K23" s="59" t="str">
        <x:f>IF(COUNTA(D23:F23)=0,"",(D23*$D$4+E23*$E$4+F23*$F$4)/SUM($D$4:$F$4))</x:f>
      </x:c>
      <x:c r="L23" s="59" t="str">
        <x:f>IF(COUNTA(G23:H23)=0,"",(G23*$G$4+H23*$H$4)/SUM($G$4:$H$4))</x:f>
      </x:c>
      <x:c r="M23" s="59" t="str">
        <x:f>IF(I23="","",I23)</x:f>
      </x:c>
      <x:c r="N23" s="60" t="str">
        <x:f>IF(J23="","",IF(J23&gt;=75,"Tercapai","Belum Tercapai"))</x:f>
      </x:c>
    </x:row>
    <x:row r="24">
      <x:c r="A24" s="58" t="n">
        <x:v>18</x:v>
      </x:c>
      <x:c r="B24" s="59" t="str"/>
      <x:c r="C24" s="59" t="str"/>
      <x:c r="D24" s="59"/>
      <x:c r="E24" s="59"/>
      <x:c r="F24" s="59"/>
      <x:c r="G24" s="59"/>
      <x:c r="H24" s="59"/>
      <x:c r="I24" s="59"/>
      <x:c r="J24" s="59" t="str">
        <x:f>IF(COUNTA(D24:I24)=0,"",D24*$D$4+E24*$E$4+F24*$F$4+G24*$G$4+H24*$H$4+I24*$I$4)</x:f>
      </x:c>
      <x:c r="K24" s="59" t="str">
        <x:f>IF(COUNTA(D24:F24)=0,"",(D24*$D$4+E24*$E$4+F24*$F$4)/SUM($D$4:$F$4))</x:f>
      </x:c>
      <x:c r="L24" s="59" t="str">
        <x:f>IF(COUNTA(G24:H24)=0,"",(G24*$G$4+H24*$H$4)/SUM($G$4:$H$4))</x:f>
      </x:c>
      <x:c r="M24" s="59" t="str">
        <x:f>IF(I24="","",I24)</x:f>
      </x:c>
      <x:c r="N24" s="60" t="str">
        <x:f>IF(J24="","",IF(J24&gt;=75,"Tercapai","Belum Tercapai"))</x:f>
      </x:c>
    </x:row>
    <x:row r="25">
      <x:c r="A25" s="58" t="n">
        <x:v>19</x:v>
      </x:c>
      <x:c r="B25" s="59" t="str"/>
      <x:c r="C25" s="59" t="str"/>
      <x:c r="D25" s="59"/>
      <x:c r="E25" s="59"/>
      <x:c r="F25" s="59"/>
      <x:c r="G25" s="59"/>
      <x:c r="H25" s="59"/>
      <x:c r="I25" s="59"/>
      <x:c r="J25" s="59" t="str">
        <x:f>IF(COUNTA(D25:I25)=0,"",D25*$D$4+E25*$E$4+F25*$F$4+G25*$G$4+H25*$H$4+I25*$I$4)</x:f>
      </x:c>
      <x:c r="K25" s="59" t="str">
        <x:f>IF(COUNTA(D25:F25)=0,"",(D25*$D$4+E25*$E$4+F25*$F$4)/SUM($D$4:$F$4))</x:f>
      </x:c>
      <x:c r="L25" s="59" t="str">
        <x:f>IF(COUNTA(G25:H25)=0,"",(G25*$G$4+H25*$H$4)/SUM($G$4:$H$4))</x:f>
      </x:c>
      <x:c r="M25" s="59" t="str">
        <x:f>IF(I25="","",I25)</x:f>
      </x:c>
      <x:c r="N25" s="60" t="str">
        <x:f>IF(J25="","",IF(J25&gt;=75,"Tercapai","Belum Tercapai"))</x:f>
      </x:c>
    </x:row>
    <x:row r="26">
      <x:c r="A26" s="61" t="n">
        <x:v>20</x:v>
      </x:c>
      <x:c r="B26" s="62" t="str"/>
      <x:c r="C26" s="62" t="str"/>
      <x:c r="D26" s="62"/>
      <x:c r="E26" s="62"/>
      <x:c r="F26" s="62"/>
      <x:c r="G26" s="62"/>
      <x:c r="H26" s="62"/>
      <x:c r="I26" s="62"/>
      <x:c r="J26" s="62" t="str">
        <x:f>IF(COUNTA(D26:I26)=0,"",D26*$D$4+E26*$E$4+F26*$F$4+G26*$G$4+H26*$H$4+I26*$I$4)</x:f>
      </x:c>
      <x:c r="K26" s="62" t="str">
        <x:f>IF(COUNTA(D26:F26)=0,"",(D26*$D$4+E26*$E$4+F26*$F$4)/SUM($D$4:$F$4))</x:f>
      </x:c>
      <x:c r="L26" s="62" t="str">
        <x:f>IF(COUNTA(G26:H26)=0,"",(G26*$G$4+H26*$H$4)/SUM($G$4:$H$4))</x:f>
      </x:c>
      <x:c r="M26" s="62" t="str">
        <x:f>IF(I26="","",I26)</x:f>
      </x:c>
      <x:c r="N26" s="63" t="str">
        <x:f>IF(J26="","",IF(J26&gt;=75,"Tercapai","Belum Tercapai"))</x:f>
      </x:c>
    </x:row>
    <x:row r="28">
      <x:c r="A28" s="21" t="str">
        <x:v>Ringkasan Kelas</x:v>
      </x:c>
      <x:c r="B28" s="22"/>
      <x:c r="C28" s="22"/>
      <x:c r="D28" s="22"/>
      <x:c r="E28" s="22"/>
      <x:c r="F28" s="23"/>
    </x:row>
    <x:row r="29">
      <x:c r="A29" s="235" t="str">
        <x:v>Rata-rata Nilai Akhir</x:v>
      </x:c>
      <x:c r="B29" s="236" t="str">
        <x:f>IFERROR(AVERAGE(J7:J26),"")</x:f>
      </x:c>
      <x:c r="D29" s="235" t="str">
        <x:v>Target CPL</x:v>
      </x:c>
      <x:c r="E29" s="236" t="n">
        <x:v>75</x:v>
      </x:c>
    </x:row>
    <x:row r="30">
      <x:c r="A30" s="58" t="str">
        <x:v>Rata-rata CPMK1</x:v>
      </x:c>
      <x:c r="B30" s="60" t="str">
        <x:f>IFERROR(AVERAGE(K7:K26),"")</x:f>
      </x:c>
      <x:c r="D30" s="61" t="str">
        <x:v>Persentase mahasiswa tercapai</x:v>
      </x:c>
      <x:c r="E30" s="241" t="str">
        <x:f>IFERROR(COUNTIF(N7:N26,"Tercapai")/COUNT(J7:J26),"")</x:f>
      </x:c>
    </x:row>
    <x:row r="31">
      <x:c r="A31" s="58" t="str">
        <x:v>Rata-rata CPMK2</x:v>
      </x:c>
      <x:c r="B31" s="60" t="str">
        <x:f>IFERROR(AVERAGE(L7:L26),"")</x:f>
      </x:c>
    </x:row>
    <x:row r="32">
      <x:c r="A32" s="61" t="str">
        <x:v>Rata-rata CPMK3</x:v>
      </x:c>
      <x:c r="B32" s="63" t="str">
        <x:f>IFERROR(AVERAGE(M7:M26),"")</x:f>
      </x:c>
    </x:row>
  </x:sheetData>
  <x:mergeCells>
    <x:mergeCell ref="A1:N1"/>
    <x:mergeCell ref="A2:N2"/>
    <x:mergeCell ref="A28:F28"/>
  </x:mergeCells>
  <x:conditionalFormatting sqref="N7:N26">
    <x:cfRule type="expression" dxfId="12" priority="1">
      <x:formula>N7="Tercapai"</x:formula>
    </x:cfRule>
    <x:cfRule type="expression" dxfId="13" priority="2">
      <x:formula>N7="Belum Tercapai"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</x:cols>
  <x:sheetData>
    <x:row r="1" ht="28" customHeight="1">
      <x:c r="A1" s="5" t="str">
        <x:v>TEMPLATE EVALUASI OBE - STI-526 Internet of Things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15" t="str">
        <x:v>CPL dibebankan: CPL02, CPL05 | Isi nilai 0-100 pada kolom Tugas s.d. Project. Target ketercapaian default = 75.</x:v>
      </x:c>
      <x:c r="B2" s="215"/>
      <x:c r="C2" s="215"/>
      <x:c r="D2" s="215"/>
      <x:c r="E2" s="215"/>
      <x:c r="F2" s="215"/>
      <x:c r="G2" s="215"/>
      <x:c r="H2" s="215"/>
      <x:c r="I2" s="215"/>
      <x:c r="J2" s="215"/>
      <x:c r="K2" s="215"/>
      <x:c r="L2" s="215"/>
      <x:c r="M2" s="215"/>
      <x:c r="N2" s="215"/>
    </x:row>
    <x:row r="3">
      <x:c r="A3" s="21" t="str">
        <x:v>Komponen</x:v>
      </x:c>
      <x:c r="B3" s="22" t="str">
        <x:v>Bobot</x:v>
      </x:c>
      <x:c r="C3" s="22" t="str">
        <x:v>Kelompok CPMK</x:v>
      </x:c>
      <x:c r="D3" s="22" t="str">
        <x:v>Tugas</x:v>
      </x:c>
      <x:c r="E3" s="22" t="str">
        <x:v>Kuis</x:v>
      </x:c>
      <x:c r="F3" s="22" t="str">
        <x:v>UTS</x:v>
      </x:c>
      <x:c r="G3" s="22" t="str">
        <x:v>UAS</x:v>
      </x:c>
      <x:c r="H3" s="22" t="str">
        <x:v>Aktivitas</x:v>
      </x:c>
      <x:c r="I3" s="22" t="str">
        <x:v>Project</x:v>
      </x:c>
      <x:c r="J3" s="22" t="str">
        <x:v>Nilai Akhir</x:v>
      </x:c>
      <x:c r="K3" s="22" t="str">
        <x:v>CPMK1</x:v>
      </x:c>
      <x:c r="L3" s="22" t="str">
        <x:v>CPMK2</x:v>
      </x:c>
      <x:c r="M3" s="22" t="str">
        <x:v>CPMK3</x:v>
      </x:c>
      <x:c r="N3" s="23" t="str">
        <x:v>Status</x:v>
      </x:c>
    </x:row>
    <x:row r="4">
      <x:c r="A4" s="21" t="str">
        <x:v>Bobot (%)</x:v>
      </x:c>
      <x:c r="B4" s="22" t="n">
        <x:v>100</x:v>
      </x:c>
      <x:c r="C4" s="22" t="str"/>
      <x:c r="D4" s="224" t="n">
        <x:v>0.15</x:v>
      </x:c>
      <x:c r="E4" s="224" t="n">
        <x:v>0.1</x:v>
      </x:c>
      <x:c r="F4" s="224" t="n">
        <x:v>0.2</x:v>
      </x:c>
      <x:c r="G4" s="224" t="n">
        <x:v>0.2</x:v>
      </x:c>
      <x:c r="H4" s="224" t="n">
        <x:v>0.1</x:v>
      </x:c>
      <x:c r="I4" s="224" t="n">
        <x:v>0.25</x:v>
      </x:c>
      <x:c r="J4" s="22" t="str">
        <x:v>Target</x:v>
      </x:c>
      <x:c r="K4" s="22" t="n">
        <x:v>75</x:v>
      </x:c>
      <x:c r="L4" s="22" t="n">
        <x:v>75</x:v>
      </x:c>
      <x:c r="M4" s="22" t="n">
        <x:v>75</x:v>
      </x:c>
      <x:c r="N4" s="23" t="str"/>
    </x:row>
    <x:row r="6">
      <x:c r="A6" s="55" t="str">
        <x:v>No</x:v>
      </x:c>
      <x:c r="B6" s="56" t="str">
        <x:v>NIM</x:v>
      </x:c>
      <x:c r="C6" s="56" t="str">
        <x:v>Nama Mahasiswa</x:v>
      </x:c>
      <x:c r="D6" s="56" t="str">
        <x:v>Tugas</x:v>
      </x:c>
      <x:c r="E6" s="56" t="str">
        <x:v>Kuis</x:v>
      </x:c>
      <x:c r="F6" s="56" t="str">
        <x:v>UTS</x:v>
      </x:c>
      <x:c r="G6" s="56" t="str">
        <x:v>UAS</x:v>
      </x:c>
      <x:c r="H6" s="56" t="str">
        <x:v>Aktivitas</x:v>
      </x:c>
      <x:c r="I6" s="56" t="str">
        <x:v>Project</x:v>
      </x:c>
      <x:c r="J6" s="56" t="str">
        <x:v>Nilai Akhir</x:v>
      </x:c>
      <x:c r="K6" s="56" t="str">
        <x:v>CPMK1</x:v>
      </x:c>
      <x:c r="L6" s="56" t="str">
        <x:v>CPMK2</x:v>
      </x:c>
      <x:c r="M6" s="56" t="str">
        <x:v>CPMK3</x:v>
      </x:c>
      <x:c r="N6" s="57" t="str">
        <x:v>Status CPL</x:v>
      </x:c>
    </x:row>
    <x:row r="7">
      <x:c r="A7" s="58" t="n">
        <x:v>1</x:v>
      </x:c>
      <x:c r="B7" s="59" t="str"/>
      <x:c r="C7" s="59" t="str"/>
      <x:c r="D7" s="59"/>
      <x:c r="E7" s="59"/>
      <x:c r="F7" s="59"/>
      <x:c r="G7" s="59"/>
      <x:c r="H7" s="59"/>
      <x:c r="I7" s="59"/>
      <x:c r="J7" s="59" t="str">
        <x:f>IF(COUNTA(D7:I7)=0,"",D7*$D$4+E7*$E$4+F7*$F$4+G7*$G$4+H7*$H$4+I7*$I$4)</x:f>
      </x:c>
      <x:c r="K7" s="59" t="str">
        <x:f>IF(COUNTA(D7:F7)=0,"",(D7*$D$4+E7*$E$4+F7*$F$4)/SUM($D$4:$F$4))</x:f>
      </x:c>
      <x:c r="L7" s="59" t="str">
        <x:f>IF(COUNTA(G7:H7)=0,"",(G7*$G$4+H7*$H$4)/SUM($G$4:$H$4))</x:f>
      </x:c>
      <x:c r="M7" s="59" t="str">
        <x:f>IF(I7="","",I7)</x:f>
      </x:c>
      <x:c r="N7" s="60" t="str">
        <x:f>IF(J7="","",IF(J7&gt;=75,"Tercapai","Belum Tercapai"))</x:f>
      </x:c>
    </x:row>
    <x:row r="8">
      <x:c r="A8" s="58" t="n">
        <x:v>2</x:v>
      </x:c>
      <x:c r="B8" s="59" t="str"/>
      <x:c r="C8" s="59" t="str"/>
      <x:c r="D8" s="59"/>
      <x:c r="E8" s="59"/>
      <x:c r="F8" s="59"/>
      <x:c r="G8" s="59"/>
      <x:c r="H8" s="59"/>
      <x:c r="I8" s="59"/>
      <x:c r="J8" s="59" t="str">
        <x:f>IF(COUNTA(D8:I8)=0,"",D8*$D$4+E8*$E$4+F8*$F$4+G8*$G$4+H8*$H$4+I8*$I$4)</x:f>
      </x:c>
      <x:c r="K8" s="59" t="str">
        <x:f>IF(COUNTA(D8:F8)=0,"",(D8*$D$4+E8*$E$4+F8*$F$4)/SUM($D$4:$F$4))</x:f>
      </x:c>
      <x:c r="L8" s="59" t="str">
        <x:f>IF(COUNTA(G8:H8)=0,"",(G8*$G$4+H8*$H$4)/SUM($G$4:$H$4))</x:f>
      </x:c>
      <x:c r="M8" s="59" t="str">
        <x:f>IF(I8="","",I8)</x:f>
      </x:c>
      <x:c r="N8" s="60" t="str">
        <x:f>IF(J8="","",IF(J8&gt;=75,"Tercapai","Belum Tercapai"))</x:f>
      </x:c>
    </x:row>
    <x:row r="9">
      <x:c r="A9" s="58" t="n">
        <x:v>3</x:v>
      </x:c>
      <x:c r="B9" s="59" t="str"/>
      <x:c r="C9" s="59" t="str"/>
      <x:c r="D9" s="59"/>
      <x:c r="E9" s="59"/>
      <x:c r="F9" s="59"/>
      <x:c r="G9" s="59"/>
      <x:c r="H9" s="59"/>
      <x:c r="I9" s="59"/>
      <x:c r="J9" s="59" t="str">
        <x:f>IF(COUNTA(D9:I9)=0,"",D9*$D$4+E9*$E$4+F9*$F$4+G9*$G$4+H9*$H$4+I9*$I$4)</x:f>
      </x:c>
      <x:c r="K9" s="59" t="str">
        <x:f>IF(COUNTA(D9:F9)=0,"",(D9*$D$4+E9*$E$4+F9*$F$4)/SUM($D$4:$F$4))</x:f>
      </x:c>
      <x:c r="L9" s="59" t="str">
        <x:f>IF(COUNTA(G9:H9)=0,"",(G9*$G$4+H9*$H$4)/SUM($G$4:$H$4))</x:f>
      </x:c>
      <x:c r="M9" s="59" t="str">
        <x:f>IF(I9="","",I9)</x:f>
      </x:c>
      <x:c r="N9" s="60" t="str">
        <x:f>IF(J9="","",IF(J9&gt;=75,"Tercapai","Belum Tercapai"))</x:f>
      </x:c>
    </x:row>
    <x:row r="10">
      <x:c r="A10" s="58" t="n">
        <x:v>4</x:v>
      </x:c>
      <x:c r="B10" s="59" t="str"/>
      <x:c r="C10" s="59" t="str"/>
      <x:c r="D10" s="59"/>
      <x:c r="E10" s="59"/>
      <x:c r="F10" s="59"/>
      <x:c r="G10" s="59"/>
      <x:c r="H10" s="59"/>
      <x:c r="I10" s="59"/>
      <x:c r="J10" s="59" t="str">
        <x:f>IF(COUNTA(D10:I10)=0,"",D10*$D$4+E10*$E$4+F10*$F$4+G10*$G$4+H10*$H$4+I10*$I$4)</x:f>
      </x:c>
      <x:c r="K10" s="59" t="str">
        <x:f>IF(COUNTA(D10:F10)=0,"",(D10*$D$4+E10*$E$4+F10*$F$4)/SUM($D$4:$F$4))</x:f>
      </x:c>
      <x:c r="L10" s="59" t="str">
        <x:f>IF(COUNTA(G10:H10)=0,"",(G10*$G$4+H10*$H$4)/SUM($G$4:$H$4))</x:f>
      </x:c>
      <x:c r="M10" s="59" t="str">
        <x:f>IF(I10="","",I10)</x:f>
      </x:c>
      <x:c r="N10" s="60" t="str">
        <x:f>IF(J10="","",IF(J10&gt;=75,"Tercapai","Belum Tercapai"))</x:f>
      </x:c>
    </x:row>
    <x:row r="11">
      <x:c r="A11" s="58" t="n">
        <x:v>5</x:v>
      </x:c>
      <x:c r="B11" s="59" t="str"/>
      <x:c r="C11" s="59" t="str"/>
      <x:c r="D11" s="59"/>
      <x:c r="E11" s="59"/>
      <x:c r="F11" s="59"/>
      <x:c r="G11" s="59"/>
      <x:c r="H11" s="59"/>
      <x:c r="I11" s="59"/>
      <x:c r="J11" s="59" t="str">
        <x:f>IF(COUNTA(D11:I11)=0,"",D11*$D$4+E11*$E$4+F11*$F$4+G11*$G$4+H11*$H$4+I11*$I$4)</x:f>
      </x:c>
      <x:c r="K11" s="59" t="str">
        <x:f>IF(COUNTA(D11:F11)=0,"",(D11*$D$4+E11*$E$4+F11*$F$4)/SUM($D$4:$F$4))</x:f>
      </x:c>
      <x:c r="L11" s="59" t="str">
        <x:f>IF(COUNTA(G11:H11)=0,"",(G11*$G$4+H11*$H$4)/SUM($G$4:$H$4))</x:f>
      </x:c>
      <x:c r="M11" s="59" t="str">
        <x:f>IF(I11="","",I11)</x:f>
      </x:c>
      <x:c r="N11" s="60" t="str">
        <x:f>IF(J11="","",IF(J11&gt;=75,"Tercapai","Belum Tercapai"))</x:f>
      </x:c>
    </x:row>
    <x:row r="12">
      <x:c r="A12" s="58" t="n">
        <x:v>6</x:v>
      </x:c>
      <x:c r="B12" s="59" t="str"/>
      <x:c r="C12" s="59" t="str"/>
      <x:c r="D12" s="59"/>
      <x:c r="E12" s="59"/>
      <x:c r="F12" s="59"/>
      <x:c r="G12" s="59"/>
      <x:c r="H12" s="59"/>
      <x:c r="I12" s="59"/>
      <x:c r="J12" s="59" t="str">
        <x:f>IF(COUNTA(D12:I12)=0,"",D12*$D$4+E12*$E$4+F12*$F$4+G12*$G$4+H12*$H$4+I12*$I$4)</x:f>
      </x:c>
      <x:c r="K12" s="59" t="str">
        <x:f>IF(COUNTA(D12:F12)=0,"",(D12*$D$4+E12*$E$4+F12*$F$4)/SUM($D$4:$F$4))</x:f>
      </x:c>
      <x:c r="L12" s="59" t="str">
        <x:f>IF(COUNTA(G12:H12)=0,"",(G12*$G$4+H12*$H$4)/SUM($G$4:$H$4))</x:f>
      </x:c>
      <x:c r="M12" s="59" t="str">
        <x:f>IF(I12="","",I12)</x:f>
      </x:c>
      <x:c r="N12" s="60" t="str">
        <x:f>IF(J12="","",IF(J12&gt;=75,"Tercapai","Belum Tercapai"))</x:f>
      </x:c>
    </x:row>
    <x:row r="13">
      <x:c r="A13" s="58" t="n">
        <x:v>7</x:v>
      </x:c>
      <x:c r="B13" s="59" t="str"/>
      <x:c r="C13" s="59" t="str"/>
      <x:c r="D13" s="59"/>
      <x:c r="E13" s="59"/>
      <x:c r="F13" s="59"/>
      <x:c r="G13" s="59"/>
      <x:c r="H13" s="59"/>
      <x:c r="I13" s="59"/>
      <x:c r="J13" s="59" t="str">
        <x:f>IF(COUNTA(D13:I13)=0,"",D13*$D$4+E13*$E$4+F13*$F$4+G13*$G$4+H13*$H$4+I13*$I$4)</x:f>
      </x:c>
      <x:c r="K13" s="59" t="str">
        <x:f>IF(COUNTA(D13:F13)=0,"",(D13*$D$4+E13*$E$4+F13*$F$4)/SUM($D$4:$F$4))</x:f>
      </x:c>
      <x:c r="L13" s="59" t="str">
        <x:f>IF(COUNTA(G13:H13)=0,"",(G13*$G$4+H13*$H$4)/SUM($G$4:$H$4))</x:f>
      </x:c>
      <x:c r="M13" s="59" t="str">
        <x:f>IF(I13="","",I13)</x:f>
      </x:c>
      <x:c r="N13" s="60" t="str">
        <x:f>IF(J13="","",IF(J13&gt;=75,"Tercapai","Belum Tercapai"))</x:f>
      </x:c>
    </x:row>
    <x:row r="14">
      <x:c r="A14" s="58" t="n">
        <x:v>8</x:v>
      </x:c>
      <x:c r="B14" s="59" t="str"/>
      <x:c r="C14" s="59" t="str"/>
      <x:c r="D14" s="59"/>
      <x:c r="E14" s="59"/>
      <x:c r="F14" s="59"/>
      <x:c r="G14" s="59"/>
      <x:c r="H14" s="59"/>
      <x:c r="I14" s="59"/>
      <x:c r="J14" s="59" t="str">
        <x:f>IF(COUNTA(D14:I14)=0,"",D14*$D$4+E14*$E$4+F14*$F$4+G14*$G$4+H14*$H$4+I14*$I$4)</x:f>
      </x:c>
      <x:c r="K14" s="59" t="str">
        <x:f>IF(COUNTA(D14:F14)=0,"",(D14*$D$4+E14*$E$4+F14*$F$4)/SUM($D$4:$F$4))</x:f>
      </x:c>
      <x:c r="L14" s="59" t="str">
        <x:f>IF(COUNTA(G14:H14)=0,"",(G14*$G$4+H14*$H$4)/SUM($G$4:$H$4))</x:f>
      </x:c>
      <x:c r="M14" s="59" t="str">
        <x:f>IF(I14="","",I14)</x:f>
      </x:c>
      <x:c r="N14" s="60" t="str">
        <x:f>IF(J14="","",IF(J14&gt;=75,"Tercapai","Belum Tercapai"))</x:f>
      </x:c>
    </x:row>
    <x:row r="15">
      <x:c r="A15" s="58" t="n">
        <x:v>9</x:v>
      </x:c>
      <x:c r="B15" s="59" t="str"/>
      <x:c r="C15" s="59" t="str"/>
      <x:c r="D15" s="59"/>
      <x:c r="E15" s="59"/>
      <x:c r="F15" s="59"/>
      <x:c r="G15" s="59"/>
      <x:c r="H15" s="59"/>
      <x:c r="I15" s="59"/>
      <x:c r="J15" s="59" t="str">
        <x:f>IF(COUNTA(D15:I15)=0,"",D15*$D$4+E15*$E$4+F15*$F$4+G15*$G$4+H15*$H$4+I15*$I$4)</x:f>
      </x:c>
      <x:c r="K15" s="59" t="str">
        <x:f>IF(COUNTA(D15:F15)=0,"",(D15*$D$4+E15*$E$4+F15*$F$4)/SUM($D$4:$F$4))</x:f>
      </x:c>
      <x:c r="L15" s="59" t="str">
        <x:f>IF(COUNTA(G15:H15)=0,"",(G15*$G$4+H15*$H$4)/SUM($G$4:$H$4))</x:f>
      </x:c>
      <x:c r="M15" s="59" t="str">
        <x:f>IF(I15="","",I15)</x:f>
      </x:c>
      <x:c r="N15" s="60" t="str">
        <x:f>IF(J15="","",IF(J15&gt;=75,"Tercapai","Belum Tercapai"))</x:f>
      </x:c>
    </x:row>
    <x:row r="16">
      <x:c r="A16" s="58" t="n">
        <x:v>10</x:v>
      </x:c>
      <x:c r="B16" s="59" t="str"/>
      <x:c r="C16" s="59" t="str"/>
      <x:c r="D16" s="59"/>
      <x:c r="E16" s="59"/>
      <x:c r="F16" s="59"/>
      <x:c r="G16" s="59"/>
      <x:c r="H16" s="59"/>
      <x:c r="I16" s="59"/>
      <x:c r="J16" s="59" t="str">
        <x:f>IF(COUNTA(D16:I16)=0,"",D16*$D$4+E16*$E$4+F16*$F$4+G16*$G$4+H16*$H$4+I16*$I$4)</x:f>
      </x:c>
      <x:c r="K16" s="59" t="str">
        <x:f>IF(COUNTA(D16:F16)=0,"",(D16*$D$4+E16*$E$4+F16*$F$4)/SUM($D$4:$F$4))</x:f>
      </x:c>
      <x:c r="L16" s="59" t="str">
        <x:f>IF(COUNTA(G16:H16)=0,"",(G16*$G$4+H16*$H$4)/SUM($G$4:$H$4))</x:f>
      </x:c>
      <x:c r="M16" s="59" t="str">
        <x:f>IF(I16="","",I16)</x:f>
      </x:c>
      <x:c r="N16" s="60" t="str">
        <x:f>IF(J16="","",IF(J16&gt;=75,"Tercapai","Belum Tercapai"))</x:f>
      </x:c>
    </x:row>
    <x:row r="17">
      <x:c r="A17" s="58" t="n">
        <x:v>11</x:v>
      </x:c>
      <x:c r="B17" s="59" t="str"/>
      <x:c r="C17" s="59" t="str"/>
      <x:c r="D17" s="59"/>
      <x:c r="E17" s="59"/>
      <x:c r="F17" s="59"/>
      <x:c r="G17" s="59"/>
      <x:c r="H17" s="59"/>
      <x:c r="I17" s="59"/>
      <x:c r="J17" s="59" t="str">
        <x:f>IF(COUNTA(D17:I17)=0,"",D17*$D$4+E17*$E$4+F17*$F$4+G17*$G$4+H17*$H$4+I17*$I$4)</x:f>
      </x:c>
      <x:c r="K17" s="59" t="str">
        <x:f>IF(COUNTA(D17:F17)=0,"",(D17*$D$4+E17*$E$4+F17*$F$4)/SUM($D$4:$F$4))</x:f>
      </x:c>
      <x:c r="L17" s="59" t="str">
        <x:f>IF(COUNTA(G17:H17)=0,"",(G17*$G$4+H17*$H$4)/SUM($G$4:$H$4))</x:f>
      </x:c>
      <x:c r="M17" s="59" t="str">
        <x:f>IF(I17="","",I17)</x:f>
      </x:c>
      <x:c r="N17" s="60" t="str">
        <x:f>IF(J17="","",IF(J17&gt;=75,"Tercapai","Belum Tercapai"))</x:f>
      </x:c>
    </x:row>
    <x:row r="18">
      <x:c r="A18" s="58" t="n">
        <x:v>12</x:v>
      </x:c>
      <x:c r="B18" s="59" t="str"/>
      <x:c r="C18" s="59" t="str"/>
      <x:c r="D18" s="59"/>
      <x:c r="E18" s="59"/>
      <x:c r="F18" s="59"/>
      <x:c r="G18" s="59"/>
      <x:c r="H18" s="59"/>
      <x:c r="I18" s="59"/>
      <x:c r="J18" s="59" t="str">
        <x:f>IF(COUNTA(D18:I18)=0,"",D18*$D$4+E18*$E$4+F18*$F$4+G18*$G$4+H18*$H$4+I18*$I$4)</x:f>
      </x:c>
      <x:c r="K18" s="59" t="str">
        <x:f>IF(COUNTA(D18:F18)=0,"",(D18*$D$4+E18*$E$4+F18*$F$4)/SUM($D$4:$F$4))</x:f>
      </x:c>
      <x:c r="L18" s="59" t="str">
        <x:f>IF(COUNTA(G18:H18)=0,"",(G18*$G$4+H18*$H$4)/SUM($G$4:$H$4))</x:f>
      </x:c>
      <x:c r="M18" s="59" t="str">
        <x:f>IF(I18="","",I18)</x:f>
      </x:c>
      <x:c r="N18" s="60" t="str">
        <x:f>IF(J18="","",IF(J18&gt;=75,"Tercapai","Belum Tercapai"))</x:f>
      </x:c>
    </x:row>
    <x:row r="19">
      <x:c r="A19" s="58" t="n">
        <x:v>13</x:v>
      </x:c>
      <x:c r="B19" s="59" t="str"/>
      <x:c r="C19" s="59" t="str"/>
      <x:c r="D19" s="59"/>
      <x:c r="E19" s="59"/>
      <x:c r="F19" s="59"/>
      <x:c r="G19" s="59"/>
      <x:c r="H19" s="59"/>
      <x:c r="I19" s="59"/>
      <x:c r="J19" s="59" t="str">
        <x:f>IF(COUNTA(D19:I19)=0,"",D19*$D$4+E19*$E$4+F19*$F$4+G19*$G$4+H19*$H$4+I19*$I$4)</x:f>
      </x:c>
      <x:c r="K19" s="59" t="str">
        <x:f>IF(COUNTA(D19:F19)=0,"",(D19*$D$4+E19*$E$4+F19*$F$4)/SUM($D$4:$F$4))</x:f>
      </x:c>
      <x:c r="L19" s="59" t="str">
        <x:f>IF(COUNTA(G19:H19)=0,"",(G19*$G$4+H19*$H$4)/SUM($G$4:$H$4))</x:f>
      </x:c>
      <x:c r="M19" s="59" t="str">
        <x:f>IF(I19="","",I19)</x:f>
      </x:c>
      <x:c r="N19" s="60" t="str">
        <x:f>IF(J19="","",IF(J19&gt;=75,"Tercapai","Belum Tercapai"))</x:f>
      </x:c>
    </x:row>
    <x:row r="20">
      <x:c r="A20" s="58" t="n">
        <x:v>14</x:v>
      </x:c>
      <x:c r="B20" s="59" t="str"/>
      <x:c r="C20" s="59" t="str"/>
      <x:c r="D20" s="59"/>
      <x:c r="E20" s="59"/>
      <x:c r="F20" s="59"/>
      <x:c r="G20" s="59"/>
      <x:c r="H20" s="59"/>
      <x:c r="I20" s="59"/>
      <x:c r="J20" s="59" t="str">
        <x:f>IF(COUNTA(D20:I20)=0,"",D20*$D$4+E20*$E$4+F20*$F$4+G20*$G$4+H20*$H$4+I20*$I$4)</x:f>
      </x:c>
      <x:c r="K20" s="59" t="str">
        <x:f>IF(COUNTA(D20:F20)=0,"",(D20*$D$4+E20*$E$4+F20*$F$4)/SUM($D$4:$F$4))</x:f>
      </x:c>
      <x:c r="L20" s="59" t="str">
        <x:f>IF(COUNTA(G20:H20)=0,"",(G20*$G$4+H20*$H$4)/SUM($G$4:$H$4))</x:f>
      </x:c>
      <x:c r="M20" s="59" t="str">
        <x:f>IF(I20="","",I20)</x:f>
      </x:c>
      <x:c r="N20" s="60" t="str">
        <x:f>IF(J20="","",IF(J20&gt;=75,"Tercapai","Belum Tercapai"))</x:f>
      </x:c>
    </x:row>
    <x:row r="21">
      <x:c r="A21" s="58" t="n">
        <x:v>15</x:v>
      </x:c>
      <x:c r="B21" s="59" t="str"/>
      <x:c r="C21" s="59" t="str"/>
      <x:c r="D21" s="59"/>
      <x:c r="E21" s="59"/>
      <x:c r="F21" s="59"/>
      <x:c r="G21" s="59"/>
      <x:c r="H21" s="59"/>
      <x:c r="I21" s="59"/>
      <x:c r="J21" s="59" t="str">
        <x:f>IF(COUNTA(D21:I21)=0,"",D21*$D$4+E21*$E$4+F21*$F$4+G21*$G$4+H21*$H$4+I21*$I$4)</x:f>
      </x:c>
      <x:c r="K21" s="59" t="str">
        <x:f>IF(COUNTA(D21:F21)=0,"",(D21*$D$4+E21*$E$4+F21*$F$4)/SUM($D$4:$F$4))</x:f>
      </x:c>
      <x:c r="L21" s="59" t="str">
        <x:f>IF(COUNTA(G21:H21)=0,"",(G21*$G$4+H21*$H$4)/SUM($G$4:$H$4))</x:f>
      </x:c>
      <x:c r="M21" s="59" t="str">
        <x:f>IF(I21="","",I21)</x:f>
      </x:c>
      <x:c r="N21" s="60" t="str">
        <x:f>IF(J21="","",IF(J21&gt;=75,"Tercapai","Belum Tercapai"))</x:f>
      </x:c>
    </x:row>
    <x:row r="22">
      <x:c r="A22" s="58" t="n">
        <x:v>16</x:v>
      </x:c>
      <x:c r="B22" s="59" t="str"/>
      <x:c r="C22" s="59" t="str"/>
      <x:c r="D22" s="59"/>
      <x:c r="E22" s="59"/>
      <x:c r="F22" s="59"/>
      <x:c r="G22" s="59"/>
      <x:c r="H22" s="59"/>
      <x:c r="I22" s="59"/>
      <x:c r="J22" s="59" t="str">
        <x:f>IF(COUNTA(D22:I22)=0,"",D22*$D$4+E22*$E$4+F22*$F$4+G22*$G$4+H22*$H$4+I22*$I$4)</x:f>
      </x:c>
      <x:c r="K22" s="59" t="str">
        <x:f>IF(COUNTA(D22:F22)=0,"",(D22*$D$4+E22*$E$4+F22*$F$4)/SUM($D$4:$F$4))</x:f>
      </x:c>
      <x:c r="L22" s="59" t="str">
        <x:f>IF(COUNTA(G22:H22)=0,"",(G22*$G$4+H22*$H$4)/SUM($G$4:$H$4))</x:f>
      </x:c>
      <x:c r="M22" s="59" t="str">
        <x:f>IF(I22="","",I22)</x:f>
      </x:c>
      <x:c r="N22" s="60" t="str">
        <x:f>IF(J22="","",IF(J22&gt;=75,"Tercapai","Belum Tercapai"))</x:f>
      </x:c>
    </x:row>
    <x:row r="23">
      <x:c r="A23" s="58" t="n">
        <x:v>17</x:v>
      </x:c>
      <x:c r="B23" s="59" t="str"/>
      <x:c r="C23" s="59" t="str"/>
      <x:c r="D23" s="59"/>
      <x:c r="E23" s="59"/>
      <x:c r="F23" s="59"/>
      <x:c r="G23" s="59"/>
      <x:c r="H23" s="59"/>
      <x:c r="I23" s="59"/>
      <x:c r="J23" s="59" t="str">
        <x:f>IF(COUNTA(D23:I23)=0,"",D23*$D$4+E23*$E$4+F23*$F$4+G23*$G$4+H23*$H$4+I23*$I$4)</x:f>
      </x:c>
      <x:c r="K23" s="59" t="str">
        <x:f>IF(COUNTA(D23:F23)=0,"",(D23*$D$4+E23*$E$4+F23*$F$4)/SUM($D$4:$F$4))</x:f>
      </x:c>
      <x:c r="L23" s="59" t="str">
        <x:f>IF(COUNTA(G23:H23)=0,"",(G23*$G$4+H23*$H$4)/SUM($G$4:$H$4))</x:f>
      </x:c>
      <x:c r="M23" s="59" t="str">
        <x:f>IF(I23="","",I23)</x:f>
      </x:c>
      <x:c r="N23" s="60" t="str">
        <x:f>IF(J23="","",IF(J23&gt;=75,"Tercapai","Belum Tercapai"))</x:f>
      </x:c>
    </x:row>
    <x:row r="24">
      <x:c r="A24" s="58" t="n">
        <x:v>18</x:v>
      </x:c>
      <x:c r="B24" s="59" t="str"/>
      <x:c r="C24" s="59" t="str"/>
      <x:c r="D24" s="59"/>
      <x:c r="E24" s="59"/>
      <x:c r="F24" s="59"/>
      <x:c r="G24" s="59"/>
      <x:c r="H24" s="59"/>
      <x:c r="I24" s="59"/>
      <x:c r="J24" s="59" t="str">
        <x:f>IF(COUNTA(D24:I24)=0,"",D24*$D$4+E24*$E$4+F24*$F$4+G24*$G$4+H24*$H$4+I24*$I$4)</x:f>
      </x:c>
      <x:c r="K24" s="59" t="str">
        <x:f>IF(COUNTA(D24:F24)=0,"",(D24*$D$4+E24*$E$4+F24*$F$4)/SUM($D$4:$F$4))</x:f>
      </x:c>
      <x:c r="L24" s="59" t="str">
        <x:f>IF(COUNTA(G24:H24)=0,"",(G24*$G$4+H24*$H$4)/SUM($G$4:$H$4))</x:f>
      </x:c>
      <x:c r="M24" s="59" t="str">
        <x:f>IF(I24="","",I24)</x:f>
      </x:c>
      <x:c r="N24" s="60" t="str">
        <x:f>IF(J24="","",IF(J24&gt;=75,"Tercapai","Belum Tercapai"))</x:f>
      </x:c>
    </x:row>
    <x:row r="25">
      <x:c r="A25" s="58" t="n">
        <x:v>19</x:v>
      </x:c>
      <x:c r="B25" s="59" t="str"/>
      <x:c r="C25" s="59" t="str"/>
      <x:c r="D25" s="59"/>
      <x:c r="E25" s="59"/>
      <x:c r="F25" s="59"/>
      <x:c r="G25" s="59"/>
      <x:c r="H25" s="59"/>
      <x:c r="I25" s="59"/>
      <x:c r="J25" s="59" t="str">
        <x:f>IF(COUNTA(D25:I25)=0,"",D25*$D$4+E25*$E$4+F25*$F$4+G25*$G$4+H25*$H$4+I25*$I$4)</x:f>
      </x:c>
      <x:c r="K25" s="59" t="str">
        <x:f>IF(COUNTA(D25:F25)=0,"",(D25*$D$4+E25*$E$4+F25*$F$4)/SUM($D$4:$F$4))</x:f>
      </x:c>
      <x:c r="L25" s="59" t="str">
        <x:f>IF(COUNTA(G25:H25)=0,"",(G25*$G$4+H25*$H$4)/SUM($G$4:$H$4))</x:f>
      </x:c>
      <x:c r="M25" s="59" t="str">
        <x:f>IF(I25="","",I25)</x:f>
      </x:c>
      <x:c r="N25" s="60" t="str">
        <x:f>IF(J25="","",IF(J25&gt;=75,"Tercapai","Belum Tercapai"))</x:f>
      </x:c>
    </x:row>
    <x:row r="26">
      <x:c r="A26" s="61" t="n">
        <x:v>20</x:v>
      </x:c>
      <x:c r="B26" s="62" t="str"/>
      <x:c r="C26" s="62" t="str"/>
      <x:c r="D26" s="62"/>
      <x:c r="E26" s="62"/>
      <x:c r="F26" s="62"/>
      <x:c r="G26" s="62"/>
      <x:c r="H26" s="62"/>
      <x:c r="I26" s="62"/>
      <x:c r="J26" s="62" t="str">
        <x:f>IF(COUNTA(D26:I26)=0,"",D26*$D$4+E26*$E$4+F26*$F$4+G26*$G$4+H26*$H$4+I26*$I$4)</x:f>
      </x:c>
      <x:c r="K26" s="62" t="str">
        <x:f>IF(COUNTA(D26:F26)=0,"",(D26*$D$4+E26*$E$4+F26*$F$4)/SUM($D$4:$F$4))</x:f>
      </x:c>
      <x:c r="L26" s="62" t="str">
        <x:f>IF(COUNTA(G26:H26)=0,"",(G26*$G$4+H26*$H$4)/SUM($G$4:$H$4))</x:f>
      </x:c>
      <x:c r="M26" s="62" t="str">
        <x:f>IF(I26="","",I26)</x:f>
      </x:c>
      <x:c r="N26" s="63" t="str">
        <x:f>IF(J26="","",IF(J26&gt;=75,"Tercapai","Belum Tercapai"))</x:f>
      </x:c>
    </x:row>
    <x:row r="28">
      <x:c r="A28" s="21" t="str">
        <x:v>Ringkasan Kelas</x:v>
      </x:c>
      <x:c r="B28" s="22"/>
      <x:c r="C28" s="22"/>
      <x:c r="D28" s="22"/>
      <x:c r="E28" s="22"/>
      <x:c r="F28" s="23"/>
    </x:row>
    <x:row r="29">
      <x:c r="A29" s="235" t="str">
        <x:v>Rata-rata Nilai Akhir</x:v>
      </x:c>
      <x:c r="B29" s="236" t="str">
        <x:f>IFERROR(AVERAGE(J7:J26),"")</x:f>
      </x:c>
      <x:c r="D29" s="235" t="str">
        <x:v>Target CPL</x:v>
      </x:c>
      <x:c r="E29" s="236" t="n">
        <x:v>75</x:v>
      </x:c>
    </x:row>
    <x:row r="30">
      <x:c r="A30" s="58" t="str">
        <x:v>Rata-rata CPMK1</x:v>
      </x:c>
      <x:c r="B30" s="60" t="str">
        <x:f>IFERROR(AVERAGE(K7:K26),"")</x:f>
      </x:c>
      <x:c r="D30" s="61" t="str">
        <x:v>Persentase mahasiswa tercapai</x:v>
      </x:c>
      <x:c r="E30" s="241" t="str">
        <x:f>IFERROR(COUNTIF(N7:N26,"Tercapai")/COUNT(J7:J26),"")</x:f>
      </x:c>
    </x:row>
    <x:row r="31">
      <x:c r="A31" s="58" t="str">
        <x:v>Rata-rata CPMK2</x:v>
      </x:c>
      <x:c r="B31" s="60" t="str">
        <x:f>IFERROR(AVERAGE(L7:L26),"")</x:f>
      </x:c>
    </x:row>
    <x:row r="32">
      <x:c r="A32" s="61" t="str">
        <x:v>Rata-rata CPMK3</x:v>
      </x:c>
      <x:c r="B32" s="63" t="str">
        <x:f>IFERROR(AVERAGE(M7:M26),"")</x:f>
      </x:c>
    </x:row>
  </x:sheetData>
  <x:mergeCells>
    <x:mergeCell ref="A1:N1"/>
    <x:mergeCell ref="A2:N2"/>
    <x:mergeCell ref="A28:F28"/>
  </x:mergeCells>
  <x:conditionalFormatting sqref="N7:N26">
    <x:cfRule type="expression" dxfId="14" priority="1">
      <x:formula>N7="Tercapai"</x:formula>
    </x:cfRule>
    <x:cfRule type="expression" dxfId="15" priority="2">
      <x:formula>N7="Belum Tercapai"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</x:cols>
  <x:sheetData>
    <x:row r="1" ht="28" customHeight="1">
      <x:c r="A1" s="5" t="str">
        <x:v>TEMPLATE EVALUASI OBE - STI-743 Audit dan Tata Kelola Sistem Informasi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15" t="str">
        <x:v>CPL dibebankan: CPL07, CPL09, CPL10 | Isi nilai 0-100 pada kolom Tugas s.d. Project. Target ketercapaian default = 75.</x:v>
      </x:c>
      <x:c r="B2" s="215"/>
      <x:c r="C2" s="215"/>
      <x:c r="D2" s="215"/>
      <x:c r="E2" s="215"/>
      <x:c r="F2" s="215"/>
      <x:c r="G2" s="215"/>
      <x:c r="H2" s="215"/>
      <x:c r="I2" s="215"/>
      <x:c r="J2" s="215"/>
      <x:c r="K2" s="215"/>
      <x:c r="L2" s="215"/>
      <x:c r="M2" s="215"/>
      <x:c r="N2" s="215"/>
    </x:row>
    <x:row r="3">
      <x:c r="A3" s="21" t="str">
        <x:v>Komponen</x:v>
      </x:c>
      <x:c r="B3" s="22" t="str">
        <x:v>Bobot</x:v>
      </x:c>
      <x:c r="C3" s="22" t="str">
        <x:v>Kelompok CPMK</x:v>
      </x:c>
      <x:c r="D3" s="22" t="str">
        <x:v>Tugas</x:v>
      </x:c>
      <x:c r="E3" s="22" t="str">
        <x:v>Kuis</x:v>
      </x:c>
      <x:c r="F3" s="22" t="str">
        <x:v>UTS</x:v>
      </x:c>
      <x:c r="G3" s="22" t="str">
        <x:v>UAS</x:v>
      </x:c>
      <x:c r="H3" s="22" t="str">
        <x:v>Aktivitas</x:v>
      </x:c>
      <x:c r="I3" s="22" t="str">
        <x:v>Project</x:v>
      </x:c>
      <x:c r="J3" s="22" t="str">
        <x:v>Nilai Akhir</x:v>
      </x:c>
      <x:c r="K3" s="22" t="str">
        <x:v>CPMK1</x:v>
      </x:c>
      <x:c r="L3" s="22" t="str">
        <x:v>CPMK2</x:v>
      </x:c>
      <x:c r="M3" s="22" t="str">
        <x:v>CPMK3</x:v>
      </x:c>
      <x:c r="N3" s="23" t="str">
        <x:v>Status</x:v>
      </x:c>
    </x:row>
    <x:row r="4">
      <x:c r="A4" s="21" t="str">
        <x:v>Bobot (%)</x:v>
      </x:c>
      <x:c r="B4" s="22" t="n">
        <x:v>100</x:v>
      </x:c>
      <x:c r="C4" s="22" t="str"/>
      <x:c r="D4" s="224" t="n">
        <x:v>0.15</x:v>
      </x:c>
      <x:c r="E4" s="224" t="n">
        <x:v>0.1</x:v>
      </x:c>
      <x:c r="F4" s="224" t="n">
        <x:v>0.2</x:v>
      </x:c>
      <x:c r="G4" s="224" t="n">
        <x:v>0.2</x:v>
      </x:c>
      <x:c r="H4" s="224" t="n">
        <x:v>0.1</x:v>
      </x:c>
      <x:c r="I4" s="224" t="n">
        <x:v>0.25</x:v>
      </x:c>
      <x:c r="J4" s="22" t="str">
        <x:v>Target</x:v>
      </x:c>
      <x:c r="K4" s="22" t="n">
        <x:v>75</x:v>
      </x:c>
      <x:c r="L4" s="22" t="n">
        <x:v>75</x:v>
      </x:c>
      <x:c r="M4" s="22" t="n">
        <x:v>75</x:v>
      </x:c>
      <x:c r="N4" s="23" t="str"/>
    </x:row>
    <x:row r="6">
      <x:c r="A6" s="55" t="str">
        <x:v>No</x:v>
      </x:c>
      <x:c r="B6" s="56" t="str">
        <x:v>NIM</x:v>
      </x:c>
      <x:c r="C6" s="56" t="str">
        <x:v>Nama Mahasiswa</x:v>
      </x:c>
      <x:c r="D6" s="56" t="str">
        <x:v>Tugas</x:v>
      </x:c>
      <x:c r="E6" s="56" t="str">
        <x:v>Kuis</x:v>
      </x:c>
      <x:c r="F6" s="56" t="str">
        <x:v>UTS</x:v>
      </x:c>
      <x:c r="G6" s="56" t="str">
        <x:v>UAS</x:v>
      </x:c>
      <x:c r="H6" s="56" t="str">
        <x:v>Aktivitas</x:v>
      </x:c>
      <x:c r="I6" s="56" t="str">
        <x:v>Project</x:v>
      </x:c>
      <x:c r="J6" s="56" t="str">
        <x:v>Nilai Akhir</x:v>
      </x:c>
      <x:c r="K6" s="56" t="str">
        <x:v>CPMK1</x:v>
      </x:c>
      <x:c r="L6" s="56" t="str">
        <x:v>CPMK2</x:v>
      </x:c>
      <x:c r="M6" s="56" t="str">
        <x:v>CPMK3</x:v>
      </x:c>
      <x:c r="N6" s="57" t="str">
        <x:v>Status CPL</x:v>
      </x:c>
    </x:row>
    <x:row r="7">
      <x:c r="A7" s="58" t="n">
        <x:v>1</x:v>
      </x:c>
      <x:c r="B7" s="59" t="str"/>
      <x:c r="C7" s="59" t="str"/>
      <x:c r="D7" s="59"/>
      <x:c r="E7" s="59"/>
      <x:c r="F7" s="59"/>
      <x:c r="G7" s="59"/>
      <x:c r="H7" s="59"/>
      <x:c r="I7" s="59"/>
      <x:c r="J7" s="59" t="str">
        <x:f>IF(COUNTA(D7:I7)=0,"",D7*$D$4+E7*$E$4+F7*$F$4+G7*$G$4+H7*$H$4+I7*$I$4)</x:f>
      </x:c>
      <x:c r="K7" s="59" t="str">
        <x:f>IF(COUNTA(D7:F7)=0,"",(D7*$D$4+E7*$E$4+F7*$F$4)/SUM($D$4:$F$4))</x:f>
      </x:c>
      <x:c r="L7" s="59" t="str">
        <x:f>IF(COUNTA(G7:H7)=0,"",(G7*$G$4+H7*$H$4)/SUM($G$4:$H$4))</x:f>
      </x:c>
      <x:c r="M7" s="59" t="str">
        <x:f>IF(I7="","",I7)</x:f>
      </x:c>
      <x:c r="N7" s="60" t="str">
        <x:f>IF(J7="","",IF(J7&gt;=75,"Tercapai","Belum Tercapai"))</x:f>
      </x:c>
    </x:row>
    <x:row r="8">
      <x:c r="A8" s="58" t="n">
        <x:v>2</x:v>
      </x:c>
      <x:c r="B8" s="59" t="str"/>
      <x:c r="C8" s="59" t="str"/>
      <x:c r="D8" s="59"/>
      <x:c r="E8" s="59"/>
      <x:c r="F8" s="59"/>
      <x:c r="G8" s="59"/>
      <x:c r="H8" s="59"/>
      <x:c r="I8" s="59"/>
      <x:c r="J8" s="59" t="str">
        <x:f>IF(COUNTA(D8:I8)=0,"",D8*$D$4+E8*$E$4+F8*$F$4+G8*$G$4+H8*$H$4+I8*$I$4)</x:f>
      </x:c>
      <x:c r="K8" s="59" t="str">
        <x:f>IF(COUNTA(D8:F8)=0,"",(D8*$D$4+E8*$E$4+F8*$F$4)/SUM($D$4:$F$4))</x:f>
      </x:c>
      <x:c r="L8" s="59" t="str">
        <x:f>IF(COUNTA(G8:H8)=0,"",(G8*$G$4+H8*$H$4)/SUM($G$4:$H$4))</x:f>
      </x:c>
      <x:c r="M8" s="59" t="str">
        <x:f>IF(I8="","",I8)</x:f>
      </x:c>
      <x:c r="N8" s="60" t="str">
        <x:f>IF(J8="","",IF(J8&gt;=75,"Tercapai","Belum Tercapai"))</x:f>
      </x:c>
    </x:row>
    <x:row r="9">
      <x:c r="A9" s="58" t="n">
        <x:v>3</x:v>
      </x:c>
      <x:c r="B9" s="59" t="str"/>
      <x:c r="C9" s="59" t="str"/>
      <x:c r="D9" s="59"/>
      <x:c r="E9" s="59"/>
      <x:c r="F9" s="59"/>
      <x:c r="G9" s="59"/>
      <x:c r="H9" s="59"/>
      <x:c r="I9" s="59"/>
      <x:c r="J9" s="59" t="str">
        <x:f>IF(COUNTA(D9:I9)=0,"",D9*$D$4+E9*$E$4+F9*$F$4+G9*$G$4+H9*$H$4+I9*$I$4)</x:f>
      </x:c>
      <x:c r="K9" s="59" t="str">
        <x:f>IF(COUNTA(D9:F9)=0,"",(D9*$D$4+E9*$E$4+F9*$F$4)/SUM($D$4:$F$4))</x:f>
      </x:c>
      <x:c r="L9" s="59" t="str">
        <x:f>IF(COUNTA(G9:H9)=0,"",(G9*$G$4+H9*$H$4)/SUM($G$4:$H$4))</x:f>
      </x:c>
      <x:c r="M9" s="59" t="str">
        <x:f>IF(I9="","",I9)</x:f>
      </x:c>
      <x:c r="N9" s="60" t="str">
        <x:f>IF(J9="","",IF(J9&gt;=75,"Tercapai","Belum Tercapai"))</x:f>
      </x:c>
    </x:row>
    <x:row r="10">
      <x:c r="A10" s="58" t="n">
        <x:v>4</x:v>
      </x:c>
      <x:c r="B10" s="59" t="str"/>
      <x:c r="C10" s="59" t="str"/>
      <x:c r="D10" s="59"/>
      <x:c r="E10" s="59"/>
      <x:c r="F10" s="59"/>
      <x:c r="G10" s="59"/>
      <x:c r="H10" s="59"/>
      <x:c r="I10" s="59"/>
      <x:c r="J10" s="59" t="str">
        <x:f>IF(COUNTA(D10:I10)=0,"",D10*$D$4+E10*$E$4+F10*$F$4+G10*$G$4+H10*$H$4+I10*$I$4)</x:f>
      </x:c>
      <x:c r="K10" s="59" t="str">
        <x:f>IF(COUNTA(D10:F10)=0,"",(D10*$D$4+E10*$E$4+F10*$F$4)/SUM($D$4:$F$4))</x:f>
      </x:c>
      <x:c r="L10" s="59" t="str">
        <x:f>IF(COUNTA(G10:H10)=0,"",(G10*$G$4+H10*$H$4)/SUM($G$4:$H$4))</x:f>
      </x:c>
      <x:c r="M10" s="59" t="str">
        <x:f>IF(I10="","",I10)</x:f>
      </x:c>
      <x:c r="N10" s="60" t="str">
        <x:f>IF(J10="","",IF(J10&gt;=75,"Tercapai","Belum Tercapai"))</x:f>
      </x:c>
    </x:row>
    <x:row r="11">
      <x:c r="A11" s="58" t="n">
        <x:v>5</x:v>
      </x:c>
      <x:c r="B11" s="59" t="str"/>
      <x:c r="C11" s="59" t="str"/>
      <x:c r="D11" s="59"/>
      <x:c r="E11" s="59"/>
      <x:c r="F11" s="59"/>
      <x:c r="G11" s="59"/>
      <x:c r="H11" s="59"/>
      <x:c r="I11" s="59"/>
      <x:c r="J11" s="59" t="str">
        <x:f>IF(COUNTA(D11:I11)=0,"",D11*$D$4+E11*$E$4+F11*$F$4+G11*$G$4+H11*$H$4+I11*$I$4)</x:f>
      </x:c>
      <x:c r="K11" s="59" t="str">
        <x:f>IF(COUNTA(D11:F11)=0,"",(D11*$D$4+E11*$E$4+F11*$F$4)/SUM($D$4:$F$4))</x:f>
      </x:c>
      <x:c r="L11" s="59" t="str">
        <x:f>IF(COUNTA(G11:H11)=0,"",(G11*$G$4+H11*$H$4)/SUM($G$4:$H$4))</x:f>
      </x:c>
      <x:c r="M11" s="59" t="str">
        <x:f>IF(I11="","",I11)</x:f>
      </x:c>
      <x:c r="N11" s="60" t="str">
        <x:f>IF(J11="","",IF(J11&gt;=75,"Tercapai","Belum Tercapai"))</x:f>
      </x:c>
    </x:row>
    <x:row r="12">
      <x:c r="A12" s="58" t="n">
        <x:v>6</x:v>
      </x:c>
      <x:c r="B12" s="59" t="str"/>
      <x:c r="C12" s="59" t="str"/>
      <x:c r="D12" s="59"/>
      <x:c r="E12" s="59"/>
      <x:c r="F12" s="59"/>
      <x:c r="G12" s="59"/>
      <x:c r="H12" s="59"/>
      <x:c r="I12" s="59"/>
      <x:c r="J12" s="59" t="str">
        <x:f>IF(COUNTA(D12:I12)=0,"",D12*$D$4+E12*$E$4+F12*$F$4+G12*$G$4+H12*$H$4+I12*$I$4)</x:f>
      </x:c>
      <x:c r="K12" s="59" t="str">
        <x:f>IF(COUNTA(D12:F12)=0,"",(D12*$D$4+E12*$E$4+F12*$F$4)/SUM($D$4:$F$4))</x:f>
      </x:c>
      <x:c r="L12" s="59" t="str">
        <x:f>IF(COUNTA(G12:H12)=0,"",(G12*$G$4+H12*$H$4)/SUM($G$4:$H$4))</x:f>
      </x:c>
      <x:c r="M12" s="59" t="str">
        <x:f>IF(I12="","",I12)</x:f>
      </x:c>
      <x:c r="N12" s="60" t="str">
        <x:f>IF(J12="","",IF(J12&gt;=75,"Tercapai","Belum Tercapai"))</x:f>
      </x:c>
    </x:row>
    <x:row r="13">
      <x:c r="A13" s="58" t="n">
        <x:v>7</x:v>
      </x:c>
      <x:c r="B13" s="59" t="str"/>
      <x:c r="C13" s="59" t="str"/>
      <x:c r="D13" s="59"/>
      <x:c r="E13" s="59"/>
      <x:c r="F13" s="59"/>
      <x:c r="G13" s="59"/>
      <x:c r="H13" s="59"/>
      <x:c r="I13" s="59"/>
      <x:c r="J13" s="59" t="str">
        <x:f>IF(COUNTA(D13:I13)=0,"",D13*$D$4+E13*$E$4+F13*$F$4+G13*$G$4+H13*$H$4+I13*$I$4)</x:f>
      </x:c>
      <x:c r="K13" s="59" t="str">
        <x:f>IF(COUNTA(D13:F13)=0,"",(D13*$D$4+E13*$E$4+F13*$F$4)/SUM($D$4:$F$4))</x:f>
      </x:c>
      <x:c r="L13" s="59" t="str">
        <x:f>IF(COUNTA(G13:H13)=0,"",(G13*$G$4+H13*$H$4)/SUM($G$4:$H$4))</x:f>
      </x:c>
      <x:c r="M13" s="59" t="str">
        <x:f>IF(I13="","",I13)</x:f>
      </x:c>
      <x:c r="N13" s="60" t="str">
        <x:f>IF(J13="","",IF(J13&gt;=75,"Tercapai","Belum Tercapai"))</x:f>
      </x:c>
    </x:row>
    <x:row r="14">
      <x:c r="A14" s="58" t="n">
        <x:v>8</x:v>
      </x:c>
      <x:c r="B14" s="59" t="str"/>
      <x:c r="C14" s="59" t="str"/>
      <x:c r="D14" s="59"/>
      <x:c r="E14" s="59"/>
      <x:c r="F14" s="59"/>
      <x:c r="G14" s="59"/>
      <x:c r="H14" s="59"/>
      <x:c r="I14" s="59"/>
      <x:c r="J14" s="59" t="str">
        <x:f>IF(COUNTA(D14:I14)=0,"",D14*$D$4+E14*$E$4+F14*$F$4+G14*$G$4+H14*$H$4+I14*$I$4)</x:f>
      </x:c>
      <x:c r="K14" s="59" t="str">
        <x:f>IF(COUNTA(D14:F14)=0,"",(D14*$D$4+E14*$E$4+F14*$F$4)/SUM($D$4:$F$4))</x:f>
      </x:c>
      <x:c r="L14" s="59" t="str">
        <x:f>IF(COUNTA(G14:H14)=0,"",(G14*$G$4+H14*$H$4)/SUM($G$4:$H$4))</x:f>
      </x:c>
      <x:c r="M14" s="59" t="str">
        <x:f>IF(I14="","",I14)</x:f>
      </x:c>
      <x:c r="N14" s="60" t="str">
        <x:f>IF(J14="","",IF(J14&gt;=75,"Tercapai","Belum Tercapai"))</x:f>
      </x:c>
    </x:row>
    <x:row r="15">
      <x:c r="A15" s="58" t="n">
        <x:v>9</x:v>
      </x:c>
      <x:c r="B15" s="59" t="str"/>
      <x:c r="C15" s="59" t="str"/>
      <x:c r="D15" s="59"/>
      <x:c r="E15" s="59"/>
      <x:c r="F15" s="59"/>
      <x:c r="G15" s="59"/>
      <x:c r="H15" s="59"/>
      <x:c r="I15" s="59"/>
      <x:c r="J15" s="59" t="str">
        <x:f>IF(COUNTA(D15:I15)=0,"",D15*$D$4+E15*$E$4+F15*$F$4+G15*$G$4+H15*$H$4+I15*$I$4)</x:f>
      </x:c>
      <x:c r="K15" s="59" t="str">
        <x:f>IF(COUNTA(D15:F15)=0,"",(D15*$D$4+E15*$E$4+F15*$F$4)/SUM($D$4:$F$4))</x:f>
      </x:c>
      <x:c r="L15" s="59" t="str">
        <x:f>IF(COUNTA(G15:H15)=0,"",(G15*$G$4+H15*$H$4)/SUM($G$4:$H$4))</x:f>
      </x:c>
      <x:c r="M15" s="59" t="str">
        <x:f>IF(I15="","",I15)</x:f>
      </x:c>
      <x:c r="N15" s="60" t="str">
        <x:f>IF(J15="","",IF(J15&gt;=75,"Tercapai","Belum Tercapai"))</x:f>
      </x:c>
    </x:row>
    <x:row r="16">
      <x:c r="A16" s="58" t="n">
        <x:v>10</x:v>
      </x:c>
      <x:c r="B16" s="59" t="str"/>
      <x:c r="C16" s="59" t="str"/>
      <x:c r="D16" s="59"/>
      <x:c r="E16" s="59"/>
      <x:c r="F16" s="59"/>
      <x:c r="G16" s="59"/>
      <x:c r="H16" s="59"/>
      <x:c r="I16" s="59"/>
      <x:c r="J16" s="59" t="str">
        <x:f>IF(COUNTA(D16:I16)=0,"",D16*$D$4+E16*$E$4+F16*$F$4+G16*$G$4+H16*$H$4+I16*$I$4)</x:f>
      </x:c>
      <x:c r="K16" s="59" t="str">
        <x:f>IF(COUNTA(D16:F16)=0,"",(D16*$D$4+E16*$E$4+F16*$F$4)/SUM($D$4:$F$4))</x:f>
      </x:c>
      <x:c r="L16" s="59" t="str">
        <x:f>IF(COUNTA(G16:H16)=0,"",(G16*$G$4+H16*$H$4)/SUM($G$4:$H$4))</x:f>
      </x:c>
      <x:c r="M16" s="59" t="str">
        <x:f>IF(I16="","",I16)</x:f>
      </x:c>
      <x:c r="N16" s="60" t="str">
        <x:f>IF(J16="","",IF(J16&gt;=75,"Tercapai","Belum Tercapai"))</x:f>
      </x:c>
    </x:row>
    <x:row r="17">
      <x:c r="A17" s="58" t="n">
        <x:v>11</x:v>
      </x:c>
      <x:c r="B17" s="59" t="str"/>
      <x:c r="C17" s="59" t="str"/>
      <x:c r="D17" s="59"/>
      <x:c r="E17" s="59"/>
      <x:c r="F17" s="59"/>
      <x:c r="G17" s="59"/>
      <x:c r="H17" s="59"/>
      <x:c r="I17" s="59"/>
      <x:c r="J17" s="59" t="str">
        <x:f>IF(COUNTA(D17:I17)=0,"",D17*$D$4+E17*$E$4+F17*$F$4+G17*$G$4+H17*$H$4+I17*$I$4)</x:f>
      </x:c>
      <x:c r="K17" s="59" t="str">
        <x:f>IF(COUNTA(D17:F17)=0,"",(D17*$D$4+E17*$E$4+F17*$F$4)/SUM($D$4:$F$4))</x:f>
      </x:c>
      <x:c r="L17" s="59" t="str">
        <x:f>IF(COUNTA(G17:H17)=0,"",(G17*$G$4+H17*$H$4)/SUM($G$4:$H$4))</x:f>
      </x:c>
      <x:c r="M17" s="59" t="str">
        <x:f>IF(I17="","",I17)</x:f>
      </x:c>
      <x:c r="N17" s="60" t="str">
        <x:f>IF(J17="","",IF(J17&gt;=75,"Tercapai","Belum Tercapai"))</x:f>
      </x:c>
    </x:row>
    <x:row r="18">
      <x:c r="A18" s="58" t="n">
        <x:v>12</x:v>
      </x:c>
      <x:c r="B18" s="59" t="str"/>
      <x:c r="C18" s="59" t="str"/>
      <x:c r="D18" s="59"/>
      <x:c r="E18" s="59"/>
      <x:c r="F18" s="59"/>
      <x:c r="G18" s="59"/>
      <x:c r="H18" s="59"/>
      <x:c r="I18" s="59"/>
      <x:c r="J18" s="59" t="str">
        <x:f>IF(COUNTA(D18:I18)=0,"",D18*$D$4+E18*$E$4+F18*$F$4+G18*$G$4+H18*$H$4+I18*$I$4)</x:f>
      </x:c>
      <x:c r="K18" s="59" t="str">
        <x:f>IF(COUNTA(D18:F18)=0,"",(D18*$D$4+E18*$E$4+F18*$F$4)/SUM($D$4:$F$4))</x:f>
      </x:c>
      <x:c r="L18" s="59" t="str">
        <x:f>IF(COUNTA(G18:H18)=0,"",(G18*$G$4+H18*$H$4)/SUM($G$4:$H$4))</x:f>
      </x:c>
      <x:c r="M18" s="59" t="str">
        <x:f>IF(I18="","",I18)</x:f>
      </x:c>
      <x:c r="N18" s="60" t="str">
        <x:f>IF(J18="","",IF(J18&gt;=75,"Tercapai","Belum Tercapai"))</x:f>
      </x:c>
    </x:row>
    <x:row r="19">
      <x:c r="A19" s="58" t="n">
        <x:v>13</x:v>
      </x:c>
      <x:c r="B19" s="59" t="str"/>
      <x:c r="C19" s="59" t="str"/>
      <x:c r="D19" s="59"/>
      <x:c r="E19" s="59"/>
      <x:c r="F19" s="59"/>
      <x:c r="G19" s="59"/>
      <x:c r="H19" s="59"/>
      <x:c r="I19" s="59"/>
      <x:c r="J19" s="59" t="str">
        <x:f>IF(COUNTA(D19:I19)=0,"",D19*$D$4+E19*$E$4+F19*$F$4+G19*$G$4+H19*$H$4+I19*$I$4)</x:f>
      </x:c>
      <x:c r="K19" s="59" t="str">
        <x:f>IF(COUNTA(D19:F19)=0,"",(D19*$D$4+E19*$E$4+F19*$F$4)/SUM($D$4:$F$4))</x:f>
      </x:c>
      <x:c r="L19" s="59" t="str">
        <x:f>IF(COUNTA(G19:H19)=0,"",(G19*$G$4+H19*$H$4)/SUM($G$4:$H$4))</x:f>
      </x:c>
      <x:c r="M19" s="59" t="str">
        <x:f>IF(I19="","",I19)</x:f>
      </x:c>
      <x:c r="N19" s="60" t="str">
        <x:f>IF(J19="","",IF(J19&gt;=75,"Tercapai","Belum Tercapai"))</x:f>
      </x:c>
    </x:row>
    <x:row r="20">
      <x:c r="A20" s="58" t="n">
        <x:v>14</x:v>
      </x:c>
      <x:c r="B20" s="59" t="str"/>
      <x:c r="C20" s="59" t="str"/>
      <x:c r="D20" s="59"/>
      <x:c r="E20" s="59"/>
      <x:c r="F20" s="59"/>
      <x:c r="G20" s="59"/>
      <x:c r="H20" s="59"/>
      <x:c r="I20" s="59"/>
      <x:c r="J20" s="59" t="str">
        <x:f>IF(COUNTA(D20:I20)=0,"",D20*$D$4+E20*$E$4+F20*$F$4+G20*$G$4+H20*$H$4+I20*$I$4)</x:f>
      </x:c>
      <x:c r="K20" s="59" t="str">
        <x:f>IF(COUNTA(D20:F20)=0,"",(D20*$D$4+E20*$E$4+F20*$F$4)/SUM($D$4:$F$4))</x:f>
      </x:c>
      <x:c r="L20" s="59" t="str">
        <x:f>IF(COUNTA(G20:H20)=0,"",(G20*$G$4+H20*$H$4)/SUM($G$4:$H$4))</x:f>
      </x:c>
      <x:c r="M20" s="59" t="str">
        <x:f>IF(I20="","",I20)</x:f>
      </x:c>
      <x:c r="N20" s="60" t="str">
        <x:f>IF(J20="","",IF(J20&gt;=75,"Tercapai","Belum Tercapai"))</x:f>
      </x:c>
    </x:row>
    <x:row r="21">
      <x:c r="A21" s="58" t="n">
        <x:v>15</x:v>
      </x:c>
      <x:c r="B21" s="59" t="str"/>
      <x:c r="C21" s="59" t="str"/>
      <x:c r="D21" s="59"/>
      <x:c r="E21" s="59"/>
      <x:c r="F21" s="59"/>
      <x:c r="G21" s="59"/>
      <x:c r="H21" s="59"/>
      <x:c r="I21" s="59"/>
      <x:c r="J21" s="59" t="str">
        <x:f>IF(COUNTA(D21:I21)=0,"",D21*$D$4+E21*$E$4+F21*$F$4+G21*$G$4+H21*$H$4+I21*$I$4)</x:f>
      </x:c>
      <x:c r="K21" s="59" t="str">
        <x:f>IF(COUNTA(D21:F21)=0,"",(D21*$D$4+E21*$E$4+F21*$F$4)/SUM($D$4:$F$4))</x:f>
      </x:c>
      <x:c r="L21" s="59" t="str">
        <x:f>IF(COUNTA(G21:H21)=0,"",(G21*$G$4+H21*$H$4)/SUM($G$4:$H$4))</x:f>
      </x:c>
      <x:c r="M21" s="59" t="str">
        <x:f>IF(I21="","",I21)</x:f>
      </x:c>
      <x:c r="N21" s="60" t="str">
        <x:f>IF(J21="","",IF(J21&gt;=75,"Tercapai","Belum Tercapai"))</x:f>
      </x:c>
    </x:row>
    <x:row r="22">
      <x:c r="A22" s="58" t="n">
        <x:v>16</x:v>
      </x:c>
      <x:c r="B22" s="59" t="str"/>
      <x:c r="C22" s="59" t="str"/>
      <x:c r="D22" s="59"/>
      <x:c r="E22" s="59"/>
      <x:c r="F22" s="59"/>
      <x:c r="G22" s="59"/>
      <x:c r="H22" s="59"/>
      <x:c r="I22" s="59"/>
      <x:c r="J22" s="59" t="str">
        <x:f>IF(COUNTA(D22:I22)=0,"",D22*$D$4+E22*$E$4+F22*$F$4+G22*$G$4+H22*$H$4+I22*$I$4)</x:f>
      </x:c>
      <x:c r="K22" s="59" t="str">
        <x:f>IF(COUNTA(D22:F22)=0,"",(D22*$D$4+E22*$E$4+F22*$F$4)/SUM($D$4:$F$4))</x:f>
      </x:c>
      <x:c r="L22" s="59" t="str">
        <x:f>IF(COUNTA(G22:H22)=0,"",(G22*$G$4+H22*$H$4)/SUM($G$4:$H$4))</x:f>
      </x:c>
      <x:c r="M22" s="59" t="str">
        <x:f>IF(I22="","",I22)</x:f>
      </x:c>
      <x:c r="N22" s="60" t="str">
        <x:f>IF(J22="","",IF(J22&gt;=75,"Tercapai","Belum Tercapai"))</x:f>
      </x:c>
    </x:row>
    <x:row r="23">
      <x:c r="A23" s="58" t="n">
        <x:v>17</x:v>
      </x:c>
      <x:c r="B23" s="59" t="str"/>
      <x:c r="C23" s="59" t="str"/>
      <x:c r="D23" s="59"/>
      <x:c r="E23" s="59"/>
      <x:c r="F23" s="59"/>
      <x:c r="G23" s="59"/>
      <x:c r="H23" s="59"/>
      <x:c r="I23" s="59"/>
      <x:c r="J23" s="59" t="str">
        <x:f>IF(COUNTA(D23:I23)=0,"",D23*$D$4+E23*$E$4+F23*$F$4+G23*$G$4+H23*$H$4+I23*$I$4)</x:f>
      </x:c>
      <x:c r="K23" s="59" t="str">
        <x:f>IF(COUNTA(D23:F23)=0,"",(D23*$D$4+E23*$E$4+F23*$F$4)/SUM($D$4:$F$4))</x:f>
      </x:c>
      <x:c r="L23" s="59" t="str">
        <x:f>IF(COUNTA(G23:H23)=0,"",(G23*$G$4+H23*$H$4)/SUM($G$4:$H$4))</x:f>
      </x:c>
      <x:c r="M23" s="59" t="str">
        <x:f>IF(I23="","",I23)</x:f>
      </x:c>
      <x:c r="N23" s="60" t="str">
        <x:f>IF(J23="","",IF(J23&gt;=75,"Tercapai","Belum Tercapai"))</x:f>
      </x:c>
    </x:row>
    <x:row r="24">
      <x:c r="A24" s="58" t="n">
        <x:v>18</x:v>
      </x:c>
      <x:c r="B24" s="59" t="str"/>
      <x:c r="C24" s="59" t="str"/>
      <x:c r="D24" s="59"/>
      <x:c r="E24" s="59"/>
      <x:c r="F24" s="59"/>
      <x:c r="G24" s="59"/>
      <x:c r="H24" s="59"/>
      <x:c r="I24" s="59"/>
      <x:c r="J24" s="59" t="str">
        <x:f>IF(COUNTA(D24:I24)=0,"",D24*$D$4+E24*$E$4+F24*$F$4+G24*$G$4+H24*$H$4+I24*$I$4)</x:f>
      </x:c>
      <x:c r="K24" s="59" t="str">
        <x:f>IF(COUNTA(D24:F24)=0,"",(D24*$D$4+E24*$E$4+F24*$F$4)/SUM($D$4:$F$4))</x:f>
      </x:c>
      <x:c r="L24" s="59" t="str">
        <x:f>IF(COUNTA(G24:H24)=0,"",(G24*$G$4+H24*$H$4)/SUM($G$4:$H$4))</x:f>
      </x:c>
      <x:c r="M24" s="59" t="str">
        <x:f>IF(I24="","",I24)</x:f>
      </x:c>
      <x:c r="N24" s="60" t="str">
        <x:f>IF(J24="","",IF(J24&gt;=75,"Tercapai","Belum Tercapai"))</x:f>
      </x:c>
    </x:row>
    <x:row r="25">
      <x:c r="A25" s="58" t="n">
        <x:v>19</x:v>
      </x:c>
      <x:c r="B25" s="59" t="str"/>
      <x:c r="C25" s="59" t="str"/>
      <x:c r="D25" s="59"/>
      <x:c r="E25" s="59"/>
      <x:c r="F25" s="59"/>
      <x:c r="G25" s="59"/>
      <x:c r="H25" s="59"/>
      <x:c r="I25" s="59"/>
      <x:c r="J25" s="59" t="str">
        <x:f>IF(COUNTA(D25:I25)=0,"",D25*$D$4+E25*$E$4+F25*$F$4+G25*$G$4+H25*$H$4+I25*$I$4)</x:f>
      </x:c>
      <x:c r="K25" s="59" t="str">
        <x:f>IF(COUNTA(D25:F25)=0,"",(D25*$D$4+E25*$E$4+F25*$F$4)/SUM($D$4:$F$4))</x:f>
      </x:c>
      <x:c r="L25" s="59" t="str">
        <x:f>IF(COUNTA(G25:H25)=0,"",(G25*$G$4+H25*$H$4)/SUM($G$4:$H$4))</x:f>
      </x:c>
      <x:c r="M25" s="59" t="str">
        <x:f>IF(I25="","",I25)</x:f>
      </x:c>
      <x:c r="N25" s="60" t="str">
        <x:f>IF(J25="","",IF(J25&gt;=75,"Tercapai","Belum Tercapai"))</x:f>
      </x:c>
    </x:row>
    <x:row r="26">
      <x:c r="A26" s="61" t="n">
        <x:v>20</x:v>
      </x:c>
      <x:c r="B26" s="62" t="str"/>
      <x:c r="C26" s="62" t="str"/>
      <x:c r="D26" s="62"/>
      <x:c r="E26" s="62"/>
      <x:c r="F26" s="62"/>
      <x:c r="G26" s="62"/>
      <x:c r="H26" s="62"/>
      <x:c r="I26" s="62"/>
      <x:c r="J26" s="62" t="str">
        <x:f>IF(COUNTA(D26:I26)=0,"",D26*$D$4+E26*$E$4+F26*$F$4+G26*$G$4+H26*$H$4+I26*$I$4)</x:f>
      </x:c>
      <x:c r="K26" s="62" t="str">
        <x:f>IF(COUNTA(D26:F26)=0,"",(D26*$D$4+E26*$E$4+F26*$F$4)/SUM($D$4:$F$4))</x:f>
      </x:c>
      <x:c r="L26" s="62" t="str">
        <x:f>IF(COUNTA(G26:H26)=0,"",(G26*$G$4+H26*$H$4)/SUM($G$4:$H$4))</x:f>
      </x:c>
      <x:c r="M26" s="62" t="str">
        <x:f>IF(I26="","",I26)</x:f>
      </x:c>
      <x:c r="N26" s="63" t="str">
        <x:f>IF(J26="","",IF(J26&gt;=75,"Tercapai","Belum Tercapai"))</x:f>
      </x:c>
    </x:row>
    <x:row r="28">
      <x:c r="A28" s="21" t="str">
        <x:v>Ringkasan Kelas</x:v>
      </x:c>
      <x:c r="B28" s="22"/>
      <x:c r="C28" s="22"/>
      <x:c r="D28" s="22"/>
      <x:c r="E28" s="22"/>
      <x:c r="F28" s="23"/>
    </x:row>
    <x:row r="29">
      <x:c r="A29" s="235" t="str">
        <x:v>Rata-rata Nilai Akhir</x:v>
      </x:c>
      <x:c r="B29" s="236" t="str">
        <x:f>IFERROR(AVERAGE(J7:J26),"")</x:f>
      </x:c>
      <x:c r="D29" s="235" t="str">
        <x:v>Target CPL</x:v>
      </x:c>
      <x:c r="E29" s="236" t="n">
        <x:v>75</x:v>
      </x:c>
    </x:row>
    <x:row r="30">
      <x:c r="A30" s="58" t="str">
        <x:v>Rata-rata CPMK1</x:v>
      </x:c>
      <x:c r="B30" s="60" t="str">
        <x:f>IFERROR(AVERAGE(K7:K26),"")</x:f>
      </x:c>
      <x:c r="D30" s="61" t="str">
        <x:v>Persentase mahasiswa tercapai</x:v>
      </x:c>
      <x:c r="E30" s="241" t="str">
        <x:f>IFERROR(COUNTIF(N7:N26,"Tercapai")/COUNT(J7:J26),"")</x:f>
      </x:c>
    </x:row>
    <x:row r="31">
      <x:c r="A31" s="58" t="str">
        <x:v>Rata-rata CPMK2</x:v>
      </x:c>
      <x:c r="B31" s="60" t="str">
        <x:f>IFERROR(AVERAGE(L7:L26),"")</x:f>
      </x:c>
    </x:row>
    <x:row r="32">
      <x:c r="A32" s="61" t="str">
        <x:v>Rata-rata CPMK3</x:v>
      </x:c>
      <x:c r="B32" s="63" t="str">
        <x:f>IFERROR(AVERAGE(M7:M26),"")</x:f>
      </x:c>
    </x:row>
  </x:sheetData>
  <x:mergeCells>
    <x:mergeCell ref="A1:N1"/>
    <x:mergeCell ref="A2:N2"/>
    <x:mergeCell ref="A28:F28"/>
  </x:mergeCells>
  <x:conditionalFormatting sqref="N7:N26">
    <x:cfRule type="expression" dxfId="16" priority="1">
      <x:formula>N7="Tercapai"</x:formula>
    </x:cfRule>
    <x:cfRule type="expression" dxfId="17" priority="2">
      <x:formula>N7="Belum Tercapai"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48" hidden="0" customWidth="1"/>
    <x:col min="5" max="5" width="12" hidden="0" customWidth="1"/>
    <x:col min="6" max="6" width="16" hidden="0" customWidth="1"/>
    <x:col min="7" max="7" width="18" hidden="0" customWidth="1"/>
  </x:cols>
  <x:sheetData>
    <x:row r="1" ht="28" customHeight="1">
      <x:c r="A1" s="5" t="str">
        <x:v>TEMPLATE REKAPITULASI KETERCAPAIAN CPL PROGRAM STUDI</x:v>
      </x:c>
      <x:c r="B1" s="5"/>
      <x:c r="C1" s="5"/>
      <x:c r="D1" s="5"/>
      <x:c r="E1" s="5"/>
      <x:c r="F1" s="5"/>
      <x:c r="G1" s="5"/>
    </x:row>
    <x:row r="2">
      <x:c r="A2" s="215" t="str">
        <x:v>Catatan: capaian aktual CPL harus berasal dari data asesmen seluruh mata kuliah pengukur. Kolom capaian dapat diisi setelah integrasi data nilai/RPS selesai. Target default dapat disesuaikan oleh program studi.</x:v>
      </x:c>
      <x:c r="B2" s="215"/>
      <x:c r="C2" s="215"/>
      <x:c r="D2" s="215"/>
      <x:c r="E2" s="215"/>
      <x:c r="F2" s="215"/>
      <x:c r="G2" s="215"/>
    </x:row>
    <x:row r="3">
      <x:c r="A3" s="55" t="str">
        <x:v>Kode CPL</x:v>
      </x:c>
      <x:c r="B3" s="56" t="str">
        <x:v>Fokus CPL</x:v>
      </x:c>
      <x:c r="C3" s="56" t="str">
        <x:v>Jumlah MK Pendukung</x:v>
      </x:c>
      <x:c r="D3" s="56" t="str">
        <x:v>MK Pengukur Level M</x:v>
      </x:c>
      <x:c r="E3" s="56" t="str">
        <x:v>Target (%)</x:v>
      </x:c>
      <x:c r="F3" s="56" t="str">
        <x:v>Capaian Aktual (%)</x:v>
      </x:c>
      <x:c r="G3" s="57" t="str">
        <x:v>Status</x:v>
      </x:c>
    </x:row>
    <x:row r="4">
      <x:c r="A4" s="58" t="str">
        <x:v>CPL01</x:v>
      </x:c>
      <x:c r="B4" s="73" t="str">
        <x:v>Analisis kebutuhan &amp; perancangan solusi</x:v>
      </x:c>
      <x:c r="C4" s="73" t="n">
        <x:v>7</x:v>
      </x:c>
      <x:c r="D4" s="73" t="str">
        <x:v>MFT-004</x:v>
      </x:c>
      <x:c r="E4" s="59" t="n">
        <x:v>75</x:v>
      </x:c>
      <x:c r="F4" s="59"/>
      <x:c r="G4" s="60" t="str">
        <x:f>IF(F4="","Belum ada data",IF(F4&gt;=E4,"Tercapai","Belum Tercapai"))</x:f>
        <x:v>Belum ada data</x:v>
      </x:c>
    </x:row>
    <x:row r="5">
      <x:c r="A5" s="58" t="str">
        <x:v>CPL02</x:v>
      </x:c>
      <x:c r="B5" s="73" t="str">
        <x:v>Pengembangan perangkat lunak &amp; platform</x:v>
      </x:c>
      <x:c r="C5" s="73" t="n">
        <x:v>13</x:v>
      </x:c>
      <x:c r="D5" s="73" t="str">
        <x:v>MFT-003, STI-741</x:v>
      </x:c>
      <x:c r="E5" s="59" t="n">
        <x:v>75</x:v>
      </x:c>
      <x:c r="F5" s="59"/>
      <x:c r="G5" s="60" t="str">
        <x:f>IF(F5="","Belum ada data",IF(F5&gt;=E5,"Tercapai","Belum Tercapai"))</x:f>
        <x:v>Belum ada data</x:v>
      </x:c>
    </x:row>
    <x:row r="6">
      <x:c r="A6" s="58" t="str">
        <x:v>CPL03</x:v>
      </x:c>
      <x:c r="B6" s="73" t="str">
        <x:v>AI, komputasi &amp; analitika data</x:v>
      </x:c>
      <x:c r="C6" s="73" t="n">
        <x:v>12</x:v>
      </x:c>
      <x:c r="D6" s="73" t="str">
        <x:v>STI-740, STI-741</x:v>
      </x:c>
      <x:c r="E6" s="59" t="n">
        <x:v>75</x:v>
      </x:c>
      <x:c r="F6" s="59"/>
      <x:c r="G6" s="60" t="str">
        <x:f>IF(F6="","Belum ada data",IF(F6&gt;=E6,"Tercapai","Belum Tercapai"))</x:f>
        <x:v>Belum ada data</x:v>
      </x:c>
    </x:row>
    <x:row r="7">
      <x:c r="A7" s="58" t="str">
        <x:v>CPL04</x:v>
      </x:c>
      <x:c r="B7" s="73" t="str">
        <x:v>UX, gamifikasi &amp; multimedia</x:v>
      </x:c>
      <x:c r="C7" s="73" t="n">
        <x:v>10</x:v>
      </x:c>
      <x:c r="D7" s="73" t="str">
        <x:v>STI-739, STI-740</x:v>
      </x:c>
      <x:c r="E7" s="59" t="n">
        <x:v>75</x:v>
      </x:c>
      <x:c r="F7" s="59"/>
      <x:c r="G7" s="60" t="str">
        <x:f>IF(F7="","Belum ada data",IF(F7&gt;=E7,"Tercapai","Belum Tercapai"))</x:f>
        <x:v>Belum ada data</x:v>
      </x:c>
    </x:row>
    <x:row r="8">
      <x:c r="A8" s="58" t="str">
        <x:v>CPL05</x:v>
      </x:c>
      <x:c r="B8" s="73" t="str">
        <x:v>IoT, infrastruktur &amp; integrasi sistem</x:v>
      </x:c>
      <x:c r="C8" s="73" t="n">
        <x:v>11</x:v>
      </x:c>
      <x:c r="D8" s="73" t="str">
        <x:v>STI-741</x:v>
      </x:c>
      <x:c r="E8" s="59" t="n">
        <x:v>75</x:v>
      </x:c>
      <x:c r="F8" s="59"/>
      <x:c r="G8" s="60" t="str">
        <x:f>IF(F8="","Belum ada data",IF(F8&gt;=E8,"Tercapai","Belum Tercapai"))</x:f>
        <x:v>Belum ada data</x:v>
      </x:c>
    </x:row>
    <x:row r="9">
      <x:c r="A9" s="58" t="str">
        <x:v>CPL06</x:v>
      </x:c>
      <x:c r="B9" s="73" t="str">
        <x:v>Data, knowledge &amp; interoperability</x:v>
      </x:c>
      <x:c r="C9" s="73" t="n">
        <x:v>8</x:v>
      </x:c>
      <x:c r="D9" s="73" t="str">
        <x:v>STI-740, STI-741</x:v>
      </x:c>
      <x:c r="E9" s="59" t="n">
        <x:v>75</x:v>
      </x:c>
      <x:c r="F9" s="59"/>
      <x:c r="G9" s="60" t="str">
        <x:f>IF(F9="","Belum ada data",IF(F9&gt;=E9,"Tercapai","Belum Tercapai"))</x:f>
        <x:v>Belum ada data</x:v>
      </x:c>
    </x:row>
    <x:row r="10">
      <x:c r="A10" s="58" t="str">
        <x:v>CPL07</x:v>
      </x:c>
      <x:c r="B10" s="73" t="str">
        <x:v>Tata kelola, keamanan &amp; kebijakan digital</x:v>
      </x:c>
      <x:c r="C10" s="73" t="n">
        <x:v>11</x:v>
      </x:c>
      <x:c r="D10" s="73" t="str">
        <x:v>STI-743</x:v>
      </x:c>
      <x:c r="E10" s="59" t="n">
        <x:v>75</x:v>
      </x:c>
      <x:c r="F10" s="59"/>
      <x:c r="G10" s="60" t="str">
        <x:f>IF(F10="","Belum ada data",IF(F10&gt;=E10,"Tercapai","Belum Tercapai"))</x:f>
        <x:v>Belum ada data</x:v>
      </x:c>
    </x:row>
    <x:row r="11">
      <x:c r="A11" s="58" t="str">
        <x:v>CPL08</x:v>
      </x:c>
      <x:c r="B11" s="73" t="str">
        <x:v>Proyek, inovasi &amp; technopreneurship</x:v>
      </x:c>
      <x:c r="C11" s="73" t="n">
        <x:v>10</x:v>
      </x:c>
      <x:c r="D11" s="73" t="str">
        <x:v>STI-739, STI-742</x:v>
      </x:c>
      <x:c r="E11" s="59" t="n">
        <x:v>75</x:v>
      </x:c>
      <x:c r="F11" s="59"/>
      <x:c r="G11" s="60" t="str">
        <x:f>IF(F11="","Belum ada data",IF(F11&gt;=E11,"Tercapai","Belum Tercapai"))</x:f>
        <x:v>Belum ada data</x:v>
      </x:c>
    </x:row>
    <x:row r="12">
      <x:c r="A12" s="58" t="str">
        <x:v>CPL09</x:v>
      </x:c>
      <x:c r="B12" s="73" t="str">
        <x:v>Fondasi ilmiah &amp; penelitian</x:v>
      </x:c>
      <x:c r="C12" s="73" t="n">
        <x:v>17</x:v>
      </x:c>
      <x:c r="D12" s="73" t="str">
        <x:v>MFT-004, STI-844</x:v>
      </x:c>
      <x:c r="E12" s="59" t="n">
        <x:v>75</x:v>
      </x:c>
      <x:c r="F12" s="59"/>
      <x:c r="G12" s="60" t="str">
        <x:f>IF(F12="","Belum ada data",IF(F12&gt;=E12,"Tercapai","Belum Tercapai"))</x:f>
        <x:v>Belum ada data</x:v>
      </x:c>
    </x:row>
    <x:row r="13">
      <x:c r="A13" s="61" t="str">
        <x:v>CPL10</x:v>
      </x:c>
      <x:c r="B13" s="74" t="str">
        <x:v>Etika &amp; keterampilan profesional</x:v>
      </x:c>
      <x:c r="C13" s="74" t="n">
        <x:v>22</x:v>
      </x:c>
      <x:c r="D13" s="74" t="str">
        <x:v>MFT-004, STI-844</x:v>
      </x:c>
      <x:c r="E13" s="62" t="n">
        <x:v>75</x:v>
      </x:c>
      <x:c r="F13" s="62"/>
      <x:c r="G13" s="63" t="str">
        <x:f>IF(F13="","Belum ada data",IF(F13&gt;=E13,"Tercapai","Belum Tercapai"))</x:f>
        <x:v>Belum ada data</x:v>
      </x:c>
    </x:row>
  </x:sheetData>
  <x:mergeCells>
    <x:mergeCell ref="A1:G1"/>
    <x:mergeCell ref="A2:G2"/>
  </x:mergeCells>
  <x:conditionalFormatting sqref="G4:G13">
    <x:cfRule type="expression" dxfId="18" priority="1">
      <x:formula>G4="Tercapai"</x:formula>
    </x:cfRule>
    <x:cfRule type="expression" dxfId="19" priority="2">
      <x:formula>G4="Belum Tercapai"</x:formula>
    </x:cfRule>
  </x:conditionalFormatting>
  <x:dataValidations count="1">
    <x:dataValidation type="decimal" operator="between" sqref="F4:F13">
      <x:formula1>0</x:formula1>
      <x:formula2>100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4" hidden="0" customWidth="1"/>
    <x:col min="4" max="4" width="12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RINGKASAN IMPLEMENTASI MODUL OBE - S1 SISTEM DAN TEKNOLOGI INFORMASI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55" t="str">
        <x:v>Indikator</x:v>
      </x:c>
      <x:c r="B3" s="57" t="str">
        <x:v>Nilai</x:v>
      </x:c>
      <x:c r="D3" s="55" t="str">
        <x:v>Kode CPL</x:v>
      </x:c>
      <x:c r="E3" s="56" t="str">
        <x:v>Jumlah MK Pendukung</x:v>
      </x:c>
      <x:c r="F3" s="57" t="str">
        <x:v>Jumlah PL Terkait</x:v>
      </x:c>
    </x:row>
    <x:row r="4">
      <x:c r="A4" s="58" t="str">
        <x:v>Profil Lulusan</x:v>
      </x:c>
      <x:c r="B4" s="60" t="n">
        <x:v>6</x:v>
      </x:c>
      <x:c r="D4" s="58" t="str">
        <x:v>CPL01</x:v>
      </x:c>
      <x:c r="E4" s="59" t="n">
        <x:v>7</x:v>
      </x:c>
      <x:c r="F4" s="60" t="n">
        <x:v>3</x:v>
      </x:c>
    </x:row>
    <x:row r="5">
      <x:c r="A5" s="58" t="str">
        <x:v>CPL</x:v>
      </x:c>
      <x:c r="B5" s="60" t="n">
        <x:v>10</x:v>
      </x:c>
      <x:c r="D5" s="58" t="str">
        <x:v>CPL02</x:v>
      </x:c>
      <x:c r="E5" s="59" t="n">
        <x:v>13</x:v>
      </x:c>
      <x:c r="F5" s="60" t="n">
        <x:v>3</x:v>
      </x:c>
    </x:row>
    <x:row r="6">
      <x:c r="A6" s="58" t="str">
        <x:v>Mata Kuliah</x:v>
      </x:c>
      <x:c r="B6" s="60" t="n">
        <x:v>56</x:v>
      </x:c>
      <x:c r="D6" s="58" t="str">
        <x:v>CPL03</x:v>
      </x:c>
      <x:c r="E6" s="59" t="n">
        <x:v>12</x:v>
      </x:c>
      <x:c r="F6" s="60" t="n">
        <x:v>3</x:v>
      </x:c>
    </x:row>
    <x:row r="7">
      <x:c r="A7" s="58" t="str">
        <x:v>Total SKS</x:v>
      </x:c>
      <x:c r="B7" s="60" t="n">
        <x:v>146</x:v>
      </x:c>
      <x:c r="D7" s="58" t="str">
        <x:v>CPL04</x:v>
      </x:c>
      <x:c r="E7" s="59" t="n">
        <x:v>10</x:v>
      </x:c>
      <x:c r="F7" s="60" t="n">
        <x:v>3</x:v>
      </x:c>
    </x:row>
    <x:row r="8">
      <x:c r="A8" s="61" t="str">
        <x:v>Semester</x:v>
      </x:c>
      <x:c r="B8" s="63" t="n">
        <x:v>8</x:v>
      </x:c>
      <x:c r="D8" s="58" t="str">
        <x:v>CPL05</x:v>
      </x:c>
      <x:c r="E8" s="59" t="n">
        <x:v>11</x:v>
      </x:c>
      <x:c r="F8" s="60" t="n">
        <x:v>2</x:v>
      </x:c>
    </x:row>
    <x:row r="9">
      <x:c r="D9" s="58" t="str">
        <x:v>CPL06</x:v>
      </x:c>
      <x:c r="E9" s="59" t="n">
        <x:v>8</x:v>
      </x:c>
      <x:c r="F9" s="60" t="n">
        <x:v>2</x:v>
      </x:c>
    </x:row>
    <x:row r="10">
      <x:c r="A10" s="327"/>
      <x:c r="B10" s="328"/>
      <x:c r="C10" s="328"/>
      <x:c r="D10" s="353" t="str">
        <x:v>CPL07</x:v>
      </x:c>
      <x:c r="E10" s="354" t="n">
        <x:v>11</x:v>
      </x:c>
      <x:c r="F10" s="355" t="n">
        <x:v>2</x:v>
      </x:c>
      <x:c r="G10" s="328"/>
      <x:c r="H10" s="331"/>
      <x:c r="I10" s="332"/>
      <x:c r="J10" s="332"/>
    </x:row>
    <x:row r="11">
      <x:c r="A11" s="333"/>
      <x:c r="B11" s="333"/>
      <x:c r="C11" s="333"/>
      <x:c r="D11" s="334" t="str">
        <x:v>CPL08</x:v>
      </x:c>
      <x:c r="E11" s="335" t="n">
        <x:v>10</x:v>
      </x:c>
      <x:c r="F11" s="336" t="n">
        <x:v>3</x:v>
      </x:c>
      <x:c r="G11" s="333"/>
      <x:c r="H11" s="333"/>
      <x:c r="I11" s="332"/>
      <x:c r="J11" s="332"/>
    </x:row>
    <x:row r="12">
      <x:c r="A12" s="333"/>
      <x:c r="B12" s="333"/>
      <x:c r="C12" s="333"/>
      <x:c r="D12" s="334" t="str">
        <x:v>CPL09</x:v>
      </x:c>
      <x:c r="E12" s="335" t="n">
        <x:v>17</x:v>
      </x:c>
      <x:c r="F12" s="336" t="n">
        <x:v>3</x:v>
      </x:c>
      <x:c r="G12" s="333"/>
      <x:c r="H12" s="333"/>
      <x:c r="I12" s="332"/>
      <x:c r="J12" s="332"/>
    </x:row>
    <x:row r="13">
      <x:c r="A13" s="333"/>
      <x:c r="B13" s="333"/>
      <x:c r="C13" s="333"/>
      <x:c r="D13" s="337" t="str">
        <x:v>CPL10</x:v>
      </x:c>
      <x:c r="E13" s="338" t="n">
        <x:v>22</x:v>
      </x:c>
      <x:c r="F13" s="339" t="n">
        <x:v>6</x:v>
      </x:c>
      <x:c r="G13" s="333"/>
      <x:c r="H13" s="333"/>
      <x:c r="I13" s="332"/>
      <x:c r="J13" s="332"/>
    </x:row>
    <x:row r="14">
      <x:c r="A14" s="333"/>
      <x:c r="B14" s="333"/>
      <x:c r="C14" s="333"/>
      <x:c r="D14" s="333"/>
      <x:c r="E14" s="333"/>
      <x:c r="F14" s="333"/>
      <x:c r="G14" s="333"/>
      <x:c r="H14" s="333"/>
      <x:c r="I14" s="332"/>
      <x:c r="J14" s="332"/>
    </x:row>
    <x:row r="16">
      <x:c r="A16" s="313" t="str">
        <x:v>Catatan Validasi Akademik</x:v>
      </x:c>
      <x:c r="B16" s="314"/>
      <x:c r="C16" s="314"/>
      <x:c r="D16" s="314"/>
      <x:c r="E16" s="314"/>
      <x:c r="F16" s="314"/>
      <x:c r="G16" s="314"/>
      <x:c r="H16" s="314"/>
      <x:c r="I16" s="314"/>
      <x:c r="J16" s="315"/>
    </x:row>
    <x:row r="17">
      <x:c r="A17" s="284" t="str">
        <x:v>1. Rumusan 10 CPL disusun dari 6 Profil Lulusan dan struktur Kurikulum 2025; perlu disahkan melalui mekanisme akademik prodi.</x:v>
      </x:c>
      <x:c r="B17" s="284"/>
      <x:c r="C17" s="284"/>
      <x:c r="D17" s="284"/>
      <x:c r="E17" s="284"/>
      <x:c r="F17" s="284"/>
      <x:c r="G17" s="284"/>
      <x:c r="H17" s="284"/>
      <x:c r="I17" s="284"/>
      <x:c r="J17" s="284"/>
    </x:row>
    <x:row r="18">
      <x:c r="A18" s="284" t="str">
        <x:v>2. Pemetaan CPL-MK dan level I/R/M merupakan desain awal berbasis nama/posisi mata kuliah; perlu dikonfirmasi dengan RPS dan bahan kajian setiap mata kuliah.</x:v>
      </x:c>
      <x:c r="B18" s="284"/>
      <x:c r="C18" s="284"/>
      <x:c r="D18" s="284"/>
      <x:c r="E18" s="284"/>
      <x:c r="F18" s="284"/>
      <x:c r="G18" s="284"/>
      <x:c r="H18" s="284"/>
      <x:c r="I18" s="284"/>
      <x:c r="J18" s="284"/>
    </x:row>
    <x:row r="19">
      <x:c r="A19" s="284" t="str">
        <x:v>3. Bahan Kajian (BK), bobot CPL pada RPS, rubrik asesmen, dan data nilai aktual belum tersedia pada sumber sehingga tidak diada-adakan.</x:v>
      </x:c>
      <x:c r="B19" s="284"/>
      <x:c r="C19" s="284"/>
      <x:c r="D19" s="284"/>
      <x:c r="E19" s="284"/>
      <x:c r="F19" s="284"/>
      <x:c r="G19" s="284"/>
      <x:c r="H19" s="284"/>
      <x:c r="I19" s="284"/>
      <x:c r="J19" s="284"/>
    </x:row>
    <x:row r="20">
      <x:c r="A20" s="284" t="str">
        <x:v>4. Sheet evaluasi adalah template implementasi. Capaian CPL program baru sah dihitung setelah data asesmen aktual seluruh mata kuliah pengukur terintegrasi.</x:v>
      </x:c>
      <x:c r="B20" s="284"/>
      <x:c r="C20" s="284"/>
      <x:c r="D20" s="284"/>
      <x:c r="E20" s="284"/>
      <x:c r="F20" s="284"/>
      <x:c r="G20" s="284"/>
      <x:c r="H20" s="284"/>
      <x:c r="I20" s="284"/>
      <x:c r="J20" s="284"/>
    </x:row>
    <x:row r="22">
      <x:c r="A22" s="83" t="str">
        <x:v>Distribusi dukungan CPL ditampilkan dengan data bar pada kolom 'Jumlah MK Pendukung'.</x:v>
      </x:c>
      <x:c r="B22" s="83"/>
      <x:c r="C22" s="83"/>
      <x:c r="D22" s="83"/>
      <x:c r="E22" s="83"/>
      <x:c r="F22" s="83"/>
      <x:c r="G22" s="83"/>
      <x:c r="H22" s="83"/>
      <x:c r="I22" s="83"/>
      <x:c r="J22" s="83"/>
    </x:row>
  </x:sheetData>
  <x:mergeCells>
    <x:mergeCell ref="A1:J1"/>
    <x:mergeCell ref="A16:J16"/>
    <x:mergeCell ref="A17:J17"/>
    <x:mergeCell ref="A18:J18"/>
    <x:mergeCell ref="A19:J19"/>
    <x:mergeCell ref="A20:J20"/>
    <x:mergeCell ref="A22:J22"/>
  </x:mergeCells>
  <x:conditionalFormatting sqref="E4:E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{2EE00D1B-2D45-FFC4-3FCC-E38FCF2A553F}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EE00D1B-2D45-FFC4-3FCC-E38FCF2A553F}">
            <x14:dataBar gradient="1">
              <x14:cfvo type="min"/>
              <x14:cfvo type="max"/>
              <x14:fillColor rgb="FFA02B93"/>
            </x14:dataBar>
          </x14:cfRule>
          <xm:sqref>E4:E13</xm:sqref>
        </x14:conditionalFormatting>
      </x14:conditionalFormattings>
    </x:ext>
  </x:extLst>
</x:worksheet>
</file>